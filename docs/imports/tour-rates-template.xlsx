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hared tours" sheetId="2" state="visible" r:id="rId4"/>
    <sheet name="Private tours" sheetId="3" state="visible" r:id="rId5"/>
    <sheet name="Programs" sheetId="4" state="visible" r:id="rId6"/>
    <sheet name="Transfers" sheetId="5" state="visible" r:id="rId7"/>
    <sheet name="Meet and assist" sheetId="6" state="visible" r:id="rId8"/>
    <sheet name="Seasons" sheetId="7" state="visible" r:id="rId9"/>
    <sheet name="Questio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  <comment ref="K4" authorId="0">
      <text>
        <r>
          <rPr>
            <sz val="10"/>
            <rFont val="Arial"/>
            <family val="2"/>
          </rPr>
          <t xml:space="preserve">Enter as a %, e.g. 50% means a child pays half the adult price for that party size.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Nilecruz</author>
  </authors>
  <commentList>
    <comment ref="A5" authorId="0">
      <text>
        <r>
          <rPr>
            <sz val="10"/>
            <rFont val="Arial"/>
            <family val="2"/>
          </rPr>
          <t xml:space="preserve">Example only, to show the format. Not a real price: delete or ignore it.</t>
        </r>
      </text>
    </comment>
  </commentList>
</comments>
</file>

<file path=xl/sharedStrings.xml><?xml version="1.0" encoding="utf-8"?>
<sst xmlns="http://schemas.openxmlformats.org/spreadsheetml/2006/main" count="183" uniqueCount="122">
  <si>
    <t xml:space="preserve">Nilecruz tour rates: what to fill in</t>
  </si>
  <si>
    <t xml:space="preserve">How to use this file</t>
  </si>
  <si>
    <t xml:space="preserve">• Fill in the YELLOW cells only. Grey italic rows are examples showing the format; they are not real prices.</t>
  </si>
  <si>
    <t xml:space="preserve">• All prices in US$ (the bank account is in USD). Write whole dollars, e.g. 45 or 120.</t>
  </si>
  <si>
    <t xml:space="preserve">• One row per tour. The 9 tours already on nilecruz.com are listed; add new ones in the empty rows below them.</t>
  </si>
  <si>
    <t xml:space="preserve">• Office = the Nilecruz office in Luxor or Aswan that runs the tour (our own supplier).</t>
  </si>
  <si>
    <t xml:space="preserve">How the rates will work on the site</t>
  </si>
  <si>
    <t xml:space="preserve">• No fixed dates: the customer picks a date on a calendar, a start time, shared or private, and the number of guests.</t>
  </si>
  <si>
    <t xml:space="preserve">• SHARED tour: a price per person. Up to 8 guests share one group on a given date and start time; when 8 places are taken, that slot is full.</t>
  </si>
  <si>
    <t xml:space="preserve">• PRIVATE tour: the party's own guide and vehicle, priced per person by party size (bigger parties pay less each). Families or friends of 9 or more always book private.</t>
  </si>
  <si>
    <t xml:space="preserve">• TRANSFERS: private only, priced per vehicle (car, van or minibus by party size), each direction.</t>
  </si>
  <si>
    <t xml:space="preserve">• MEET AND ASSIST: sold separately, priced per party by size.</t>
  </si>
  <si>
    <t xml:space="preserve">• Sightseeing PROGRAMS for a cruise: private, priced per person by party size; dates follow the customer's cruise.</t>
  </si>
  <si>
    <t xml:space="preserve">• Children: give the child prices in the columns provided; under-3s are free unless you say otherwise.</t>
  </si>
  <si>
    <t xml:space="preserve">• Seasons (optional): on the Seasons tab you can raise or lower all prices by a % between two dates, e.g. Christmas.</t>
  </si>
  <si>
    <t xml:space="preserve">Tabs</t>
  </si>
  <si>
    <t xml:space="preserve">Shared tours · Private tours · Programs · Transfers · Meet and assist · Seasons · Questions</t>
  </si>
  <si>
    <t xml:space="preserve">Please also answer the short list on the Questions tab: it decides how bookings are confirmed.</t>
  </si>
  <si>
    <t xml:space="preserve">Shared tours</t>
  </si>
  <si>
    <t xml:space="preserve">Day trips run as a SHARED group (up to 8 guests from different bookings). Price per person. Leave a tour's row empty if it is never shared.</t>
  </si>
  <si>
    <t xml:space="preserve">Tour</t>
  </si>
  <si>
    <t xml:space="preserve">Office</t>
  </si>
  <si>
    <t xml:space="preserve">Days it runs</t>
  </si>
  <si>
    <t xml:space="preserve">Start time(s)</t>
  </si>
  <si>
    <t xml:space="preserve">Adult price per person (US$)</t>
  </si>
  <si>
    <t xml:space="preserve">Child 6–11 per person (US$)</t>
  </si>
  <si>
    <t xml:space="preserve">Child 3–5 per person (US$)</t>
  </si>
  <si>
    <t xml:space="preserve">Max guests per group</t>
  </si>
  <si>
    <t xml:space="preserve">Minimum guests to run</t>
  </si>
  <si>
    <t xml:space="preserve">Book at least (hours before)</t>
  </si>
  <si>
    <t xml:space="preserve">Entrance tickets included? (Yes/No)</t>
  </si>
  <si>
    <t xml:space="preserve">Notes</t>
  </si>
  <si>
    <t xml:space="preserve">Example: Dendera Temple Half-Day Trip from Luxor</t>
  </si>
  <si>
    <t xml:space="preserve">Luxor</t>
  </si>
  <si>
    <t xml:space="preserve">Every day</t>
  </si>
  <si>
    <t xml:space="preserve">08:00</t>
  </si>
  <si>
    <t xml:space="preserve">Yes</t>
  </si>
  <si>
    <t xml:space="preserve">Example only</t>
  </si>
  <si>
    <t xml:space="preserve">Abu Simbel Day Trip from Aswan by Road</t>
  </si>
  <si>
    <t xml:space="preserve">Aswan</t>
  </si>
  <si>
    <t xml:space="preserve">Abydos and Dendera Full-Day Trip from Luxor</t>
  </si>
  <si>
    <t xml:space="preserve">Dendera Temple Half-Day Trip from Luxor</t>
  </si>
  <si>
    <t xml:space="preserve">Private tours</t>
  </si>
  <si>
    <t xml:space="preserve">The same day trips as a PRIVATE tour: the party's own guide and vehicle. Price PER PERSON for each party size; parties of 9 or more (friends, family) are always private. Grey columns show the total for that party size.</t>
  </si>
  <si>
    <t xml:space="preserve">Start time(s) or 'flexible'</t>
  </si>
  <si>
    <t xml:space="preserve">1 guest: per person (US$)</t>
  </si>
  <si>
    <t xml:space="preserve">2 guests: per person (US$)</t>
  </si>
  <si>
    <t xml:space="preserve">3–4 guests: per person (US$)</t>
  </si>
  <si>
    <t xml:space="preserve">5–8 guests: per person (US$)</t>
  </si>
  <si>
    <t xml:space="preserve">9–14 guests: per person (US$)</t>
  </si>
  <si>
    <t xml:space="preserve">15+ guests: per person (US$)</t>
  </si>
  <si>
    <t xml:space="preserve">Child 6–11 (% of adult)</t>
  </si>
  <si>
    <t xml:space="preserve">Total for 2 (US$)</t>
  </si>
  <si>
    <t xml:space="preserve">Total for 4 (US$)</t>
  </si>
  <si>
    <t xml:space="preserve">Total for 8 (US$)</t>
  </si>
  <si>
    <t xml:space="preserve">flexible</t>
  </si>
  <si>
    <t xml:space="preserve">Programs</t>
  </si>
  <si>
    <t xml:space="preserve">Multi-day sightseeing that goes with a cruise. Always PRIVATE; dates follow the customer's cruise. Price PER PERSON by party size.</t>
  </si>
  <si>
    <t xml:space="preserve">Program</t>
  </si>
  <si>
    <t xml:space="preserve">Offices</t>
  </si>
  <si>
    <t xml:space="preserve">Example: 4-Night Nile Cruise Sightseeing: Luxor to Aswan</t>
  </si>
  <si>
    <t xml:space="preserve">Luxor + Aswan</t>
  </si>
  <si>
    <t xml:space="preserve">3-Night Nile Cruise Sightseeing: Aswan to Luxor</t>
  </si>
  <si>
    <t xml:space="preserve">Aswan + Luxor</t>
  </si>
  <si>
    <t xml:space="preserve">4-Night Nile Cruise Sightseeing: Luxor to Aswan</t>
  </si>
  <si>
    <t xml:space="preserve">Transfers</t>
  </si>
  <si>
    <t xml:space="preserve">Airport and hotel transfers: PRIVATE only. Price PER VEHICLE, ONE WAY. The vehicle depends on the party size.</t>
  </si>
  <si>
    <t xml:space="preserve">Transfer</t>
  </si>
  <si>
    <t xml:space="preserve">From → To</t>
  </si>
  <si>
    <t xml:space="preserve">Car, 1–3 guests (US$)</t>
  </si>
  <si>
    <t xml:space="preserve">Van, 4–8 guests (US$)</t>
  </si>
  <si>
    <t xml:space="preserve">Minibus, 9–14 guests (US$)</t>
  </si>
  <si>
    <t xml:space="preserve">Night extra 22:00–06:00 (US$)</t>
  </si>
  <si>
    <t xml:space="preserve">Example: Luxor Airport Private Transfer</t>
  </si>
  <si>
    <t xml:space="preserve">Luxor Airport → ship or hotel in Luxor</t>
  </si>
  <si>
    <t xml:space="preserve">Aswan Airport Private Transfer</t>
  </si>
  <si>
    <t xml:space="preserve">Aswan Airport → ship or hotel in Aswan</t>
  </si>
  <si>
    <t xml:space="preserve">Ship or hotel in Aswan → Aswan Airport</t>
  </si>
  <si>
    <t xml:space="preserve">Luxor Airport Private Transfer</t>
  </si>
  <si>
    <t xml:space="preserve">Ship or hotel in Luxor → Luxor Airport</t>
  </si>
  <si>
    <t xml:space="preserve">Meet and assist</t>
  </si>
  <si>
    <t xml:space="preserve">A representative meets the party at the airport (arrival) or helps them check in (departure). Sold separately. Price PER PARTY.</t>
  </si>
  <si>
    <t xml:space="preserve">Service</t>
  </si>
  <si>
    <t xml:space="preserve">Arrival or departure</t>
  </si>
  <si>
    <t xml:space="preserve">1–4 guests (US$)</t>
  </si>
  <si>
    <t xml:space="preserve">5–8 guests (US$)</t>
  </si>
  <si>
    <t xml:space="preserve">9–14 guests (US$)</t>
  </si>
  <si>
    <t xml:space="preserve">Example: Meet and Assist: Luxor Airport</t>
  </si>
  <si>
    <t xml:space="preserve">Arrival</t>
  </si>
  <si>
    <t xml:space="preserve">Meet and Assist: Aswan Airport</t>
  </si>
  <si>
    <t xml:space="preserve">Departure</t>
  </si>
  <si>
    <t xml:space="preserve">Meet and Assist: Luxor Airport</t>
  </si>
  <si>
    <t xml:space="preserve">Seasons</t>
  </si>
  <si>
    <t xml:space="preserve">Optional. Raise (or lower) every tour price by a % between two dates. Leave empty if prices are the same all year.</t>
  </si>
  <si>
    <t xml:space="preserve">Season</t>
  </si>
  <si>
    <t xml:space="preserve">From (date)</t>
  </si>
  <si>
    <t xml:space="preserve">To (date)</t>
  </si>
  <si>
    <t xml:space="preserve">Price change (%)</t>
  </si>
  <si>
    <t xml:space="preserve">Applies to (All / Shared / Private / Transfers)</t>
  </si>
  <si>
    <t xml:space="preserve">Example: Christmas and New Year</t>
  </si>
  <si>
    <t xml:space="preserve">2026-12-24</t>
  </si>
  <si>
    <t xml:space="preserve">2027-01-07</t>
  </si>
  <si>
    <t xml:space="preserve">All</t>
  </si>
  <si>
    <t xml:space="preserve">Example only: 20% more</t>
  </si>
  <si>
    <t xml:space="preserve">A few decisions (choose an answer in column C)</t>
  </si>
  <si>
    <t xml:space="preserve">#</t>
  </si>
  <si>
    <t xml:space="preserve">Question</t>
  </si>
  <si>
    <t xml:space="preserve">Your answer</t>
  </si>
  <si>
    <t xml:space="preserve">Recommended</t>
  </si>
  <si>
    <t xml:space="preserve">When a customer books and pays, is the tour confirmed at once, or does the office confirm it first?</t>
  </si>
  <si>
    <t xml:space="preserve">Confirmed at once (the office sees every booking in its dashboard)</t>
  </si>
  <si>
    <t xml:space="preserve">If a shared tour does not reach its minimum guests, what happens?</t>
  </si>
  <si>
    <t xml:space="preserve">Offer private at the shared price</t>
  </si>
  <si>
    <t xml:space="preserve">How far ahead can customers book?</t>
  </si>
  <si>
    <t xml:space="preserve">12 months</t>
  </si>
  <si>
    <t xml:space="preserve">Latest booking time before the tour (if not set per tour)?</t>
  </si>
  <si>
    <t xml:space="preserve">24 hours</t>
  </si>
  <si>
    <t xml:space="preserve">Can a customer book a tour without a cruise booked on Nilecruz?</t>
  </si>
  <si>
    <t xml:space="preserve">Who handles each booking: the Luxor and Aswan offices get their own dashboard logins?</t>
  </si>
  <si>
    <t xml:space="preserve">Yes, one login per office</t>
  </si>
  <si>
    <t xml:space="preserve">Cancellation for tours (per tour today): use one standard rule for all tours?</t>
  </si>
  <si>
    <t xml:space="preserve">Free until 48 h before; then 100%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</si>
</sst>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US$&quot;#,##0;&quot;(US$&quot;#,##0\);\-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26.85" hidden="false" customHeight="false" outlineLevel="0" collapsed="false">
      <c r="A11" s="2" t="s">
        <v>8</v>
      </c>
    </row>
    <row r="12" customFormat="false" ht="26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7" min="4" style="0" width="14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4" t="s">
        <v>18</v>
      </c>
    </row>
    <row r="2" customFormat="false" ht="48" hidden="false" customHeight="true" outlineLevel="0" collapsed="false">
      <c r="A2" s="5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customFormat="false" ht="45" hidden="false" customHeight="true" outlineLevel="0" collapsed="false">
      <c r="A4" s="6" t="s">
        <v>20</v>
      </c>
      <c r="B4" s="6" t="s">
        <v>21</v>
      </c>
      <c r="C4" s="6" t="s">
        <v>22</v>
      </c>
      <c r="D4" s="6" t="s">
        <v>23</v>
      </c>
      <c r="E4" s="6" t="s">
        <v>24</v>
      </c>
      <c r="F4" s="6" t="s">
        <v>25</v>
      </c>
      <c r="G4" s="6" t="s">
        <v>26</v>
      </c>
      <c r="H4" s="6" t="s">
        <v>27</v>
      </c>
      <c r="I4" s="6" t="s">
        <v>28</v>
      </c>
      <c r="J4" s="6" t="s">
        <v>29</v>
      </c>
      <c r="K4" s="6" t="s">
        <v>30</v>
      </c>
      <c r="L4" s="6" t="s">
        <v>31</v>
      </c>
    </row>
    <row r="5" customFormat="false" ht="26.85" hidden="false" customHeight="false" outlineLevel="0" collapsed="false">
      <c r="A5" s="7" t="s">
        <v>32</v>
      </c>
      <c r="B5" s="7" t="s">
        <v>33</v>
      </c>
      <c r="C5" s="7" t="s">
        <v>34</v>
      </c>
      <c r="D5" s="7" t="s">
        <v>35</v>
      </c>
      <c r="E5" s="8" t="n">
        <v>40</v>
      </c>
      <c r="F5" s="8" t="n">
        <v>20</v>
      </c>
      <c r="G5" s="8" t="n">
        <v>10</v>
      </c>
      <c r="H5" s="7" t="n">
        <v>8</v>
      </c>
      <c r="I5" s="7" t="n">
        <v>2</v>
      </c>
      <c r="J5" s="7" t="n">
        <v>24</v>
      </c>
      <c r="K5" s="7" t="s">
        <v>36</v>
      </c>
      <c r="L5" s="7" t="s">
        <v>37</v>
      </c>
    </row>
    <row r="6" customFormat="false" ht="15" hidden="false" customHeight="false" outlineLevel="0" collapsed="false">
      <c r="A6" s="9" t="s">
        <v>38</v>
      </c>
      <c r="B6" s="10" t="s">
        <v>39</v>
      </c>
      <c r="C6" s="10" t="s">
        <v>34</v>
      </c>
      <c r="D6" s="10"/>
      <c r="E6" s="11"/>
      <c r="F6" s="11"/>
      <c r="G6" s="11"/>
      <c r="H6" s="10" t="n">
        <v>8</v>
      </c>
      <c r="I6" s="10"/>
      <c r="J6" s="10"/>
      <c r="K6" s="10"/>
      <c r="L6" s="10"/>
    </row>
    <row r="7" customFormat="false" ht="15" hidden="false" customHeight="false" outlineLevel="0" collapsed="false">
      <c r="A7" s="9" t="s">
        <v>40</v>
      </c>
      <c r="B7" s="10" t="s">
        <v>33</v>
      </c>
      <c r="C7" s="10" t="s">
        <v>34</v>
      </c>
      <c r="D7" s="10"/>
      <c r="E7" s="11"/>
      <c r="F7" s="11"/>
      <c r="G7" s="11"/>
      <c r="H7" s="10" t="n">
        <v>8</v>
      </c>
      <c r="I7" s="10"/>
      <c r="J7" s="10"/>
      <c r="K7" s="10"/>
      <c r="L7" s="10"/>
    </row>
    <row r="8" customFormat="false" ht="15" hidden="false" customHeight="false" outlineLevel="0" collapsed="false">
      <c r="A8" s="9" t="s">
        <v>41</v>
      </c>
      <c r="B8" s="10" t="s">
        <v>33</v>
      </c>
      <c r="C8" s="10" t="s">
        <v>34</v>
      </c>
      <c r="D8" s="10"/>
      <c r="E8" s="11"/>
      <c r="F8" s="11"/>
      <c r="G8" s="11"/>
      <c r="H8" s="10" t="n">
        <v>8</v>
      </c>
      <c r="I8" s="10"/>
      <c r="J8" s="10"/>
      <c r="K8" s="10"/>
      <c r="L8" s="10"/>
    </row>
    <row r="9" customFormat="false" ht="15" hidden="false" customHeight="false" outlineLevel="0" collapsed="false">
      <c r="A9" s="12"/>
      <c r="B9" s="13"/>
      <c r="C9" s="13"/>
      <c r="D9" s="13"/>
      <c r="E9" s="14"/>
      <c r="F9" s="14"/>
      <c r="G9" s="14"/>
      <c r="H9" s="13"/>
      <c r="I9" s="13"/>
      <c r="J9" s="13"/>
      <c r="K9" s="13"/>
      <c r="L9" s="13"/>
    </row>
    <row r="10" customFormat="false" ht="15" hidden="false" customHeight="false" outlineLevel="0" collapsed="false">
      <c r="A10" s="12"/>
      <c r="B10" s="13"/>
      <c r="C10" s="13"/>
      <c r="D10" s="13"/>
      <c r="E10" s="14"/>
      <c r="F10" s="14"/>
      <c r="G10" s="14"/>
      <c r="H10" s="13"/>
      <c r="I10" s="13"/>
      <c r="J10" s="13"/>
      <c r="K10" s="13"/>
      <c r="L10" s="13"/>
    </row>
    <row r="11" customFormat="false" ht="15" hidden="false" customHeight="false" outlineLevel="0" collapsed="false">
      <c r="A11" s="12"/>
      <c r="B11" s="13"/>
      <c r="C11" s="13"/>
      <c r="D11" s="13"/>
      <c r="E11" s="14"/>
      <c r="F11" s="14"/>
      <c r="G11" s="14"/>
      <c r="H11" s="13"/>
      <c r="I11" s="13"/>
      <c r="J11" s="13"/>
      <c r="K11" s="13"/>
      <c r="L11" s="13"/>
    </row>
    <row r="12" customFormat="false" ht="15" hidden="false" customHeight="false" outlineLevel="0" collapsed="false">
      <c r="A12" s="12"/>
      <c r="B12" s="13"/>
      <c r="C12" s="13"/>
      <c r="D12" s="13"/>
      <c r="E12" s="14"/>
      <c r="F12" s="14"/>
      <c r="G12" s="14"/>
      <c r="H12" s="13"/>
      <c r="I12" s="13"/>
      <c r="J12" s="13"/>
      <c r="K12" s="13"/>
      <c r="L12" s="13"/>
    </row>
    <row r="13" customFormat="false" ht="15" hidden="false" customHeight="false" outlineLevel="0" collapsed="false">
      <c r="A13" s="12"/>
      <c r="B13" s="13"/>
      <c r="C13" s="13"/>
      <c r="D13" s="13"/>
      <c r="E13" s="14"/>
      <c r="F13" s="14"/>
      <c r="G13" s="14"/>
      <c r="H13" s="13"/>
      <c r="I13" s="13"/>
      <c r="J13" s="13"/>
      <c r="K13" s="13"/>
      <c r="L13" s="13"/>
    </row>
    <row r="14" customFormat="false" ht="15" hidden="false" customHeight="false" outlineLevel="0" collapsed="false">
      <c r="A14" s="12"/>
      <c r="B14" s="13"/>
      <c r="C14" s="13"/>
      <c r="D14" s="13"/>
      <c r="E14" s="14"/>
      <c r="F14" s="14"/>
      <c r="G14" s="14"/>
      <c r="H14" s="13"/>
      <c r="I14" s="13"/>
      <c r="J14" s="13"/>
      <c r="K14" s="13"/>
      <c r="L14" s="13"/>
    </row>
    <row r="15" customFormat="false" ht="15" hidden="false" customHeight="false" outlineLevel="0" collapsed="false">
      <c r="A15" s="12"/>
      <c r="B15" s="13"/>
      <c r="C15" s="13"/>
      <c r="D15" s="13"/>
      <c r="E15" s="14"/>
      <c r="F15" s="14"/>
      <c r="G15" s="14"/>
      <c r="H15" s="13"/>
      <c r="I15" s="13"/>
      <c r="J15" s="13"/>
      <c r="K15" s="13"/>
      <c r="L15" s="13"/>
    </row>
    <row r="16" customFormat="false" ht="15" hidden="false" customHeight="false" outlineLevel="0" collapsed="false">
      <c r="A16" s="12"/>
      <c r="B16" s="13"/>
      <c r="C16" s="13"/>
      <c r="D16" s="13"/>
      <c r="E16" s="14"/>
      <c r="F16" s="14"/>
      <c r="G16" s="14"/>
      <c r="H16" s="13"/>
      <c r="I16" s="13"/>
      <c r="J16" s="13"/>
      <c r="K16" s="13"/>
      <c r="L16" s="13"/>
    </row>
    <row r="17" customFormat="false" ht="15" hidden="false" customHeight="false" outlineLevel="0" collapsed="false">
      <c r="A17" s="12"/>
      <c r="B17" s="13"/>
      <c r="C17" s="13"/>
      <c r="D17" s="13"/>
      <c r="E17" s="14"/>
      <c r="F17" s="14"/>
      <c r="G17" s="14"/>
      <c r="H17" s="13"/>
      <c r="I17" s="13"/>
      <c r="J17" s="13"/>
      <c r="K17" s="13"/>
      <c r="L17" s="13"/>
    </row>
    <row r="18" customFormat="false" ht="15" hidden="false" customHeight="false" outlineLevel="0" collapsed="false">
      <c r="A18" s="12"/>
      <c r="B18" s="13"/>
      <c r="C18" s="13"/>
      <c r="D18" s="13"/>
      <c r="E18" s="14"/>
      <c r="F18" s="14"/>
      <c r="G18" s="14"/>
      <c r="H18" s="13"/>
      <c r="I18" s="13"/>
      <c r="J18" s="13"/>
      <c r="K18" s="13"/>
      <c r="L18" s="13"/>
    </row>
  </sheetData>
  <mergeCells count="1">
    <mergeCell ref="A2:L2"/>
  </mergeCells>
  <dataValidations count="2">
    <dataValidation allowBlank="true" errorStyle="stop" operator="between" showDropDown="false" showErrorMessage="false" showInputMessage="false" sqref="B5:B18" type="list">
      <formula1>"Luxor,Aswan"</formula1>
      <formula2>0</formula2>
    </dataValidation>
    <dataValidation allowBlank="true" errorStyle="stop" operator="between" showDropDown="false" showErrorMessage="false" showInputMessage="false" sqref="K5:K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10" min="5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6"/>
    <col collapsed="false" customWidth="true" hidden="false" outlineLevel="0" max="16" min="14" style="0" width="12"/>
  </cols>
  <sheetData>
    <row r="1" customFormat="false" ht="17.35" hidden="false" customHeight="false" outlineLevel="0" collapsed="false">
      <c r="A1" s="4" t="s">
        <v>42</v>
      </c>
    </row>
    <row r="2" customFormat="false" ht="48" hidden="false" customHeight="true" outlineLevel="0" collapsed="false">
      <c r="A2" s="5" t="s">
        <v>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4" customFormat="false" ht="45" hidden="false" customHeight="true" outlineLevel="0" collapsed="false">
      <c r="A4" s="6" t="s">
        <v>20</v>
      </c>
      <c r="B4" s="6" t="s">
        <v>21</v>
      </c>
      <c r="C4" s="6" t="s">
        <v>22</v>
      </c>
      <c r="D4" s="6" t="s">
        <v>44</v>
      </c>
      <c r="E4" s="6" t="s">
        <v>45</v>
      </c>
      <c r="F4" s="6" t="s">
        <v>46</v>
      </c>
      <c r="G4" s="6" t="s">
        <v>47</v>
      </c>
      <c r="H4" s="6" t="s">
        <v>48</v>
      </c>
      <c r="I4" s="6" t="s">
        <v>49</v>
      </c>
      <c r="J4" s="6" t="s">
        <v>50</v>
      </c>
      <c r="K4" s="6" t="s">
        <v>51</v>
      </c>
      <c r="L4" s="6" t="s">
        <v>29</v>
      </c>
      <c r="M4" s="6" t="s">
        <v>31</v>
      </c>
      <c r="N4" s="6" t="s">
        <v>52</v>
      </c>
      <c r="O4" s="6" t="s">
        <v>53</v>
      </c>
      <c r="P4" s="6" t="s">
        <v>54</v>
      </c>
    </row>
    <row r="5" customFormat="false" ht="26.85" hidden="false" customHeight="false" outlineLevel="0" collapsed="false">
      <c r="A5" s="7" t="s">
        <v>32</v>
      </c>
      <c r="B5" s="7" t="s">
        <v>33</v>
      </c>
      <c r="C5" s="7" t="s">
        <v>34</v>
      </c>
      <c r="D5" s="7" t="s">
        <v>55</v>
      </c>
      <c r="E5" s="8" t="n">
        <v>120</v>
      </c>
      <c r="F5" s="8" t="n">
        <v>75</v>
      </c>
      <c r="G5" s="8" t="n">
        <v>60</v>
      </c>
      <c r="H5" s="8" t="n">
        <v>50</v>
      </c>
      <c r="I5" s="8" t="n">
        <v>42</v>
      </c>
      <c r="J5" s="8" t="n">
        <v>38</v>
      </c>
      <c r="K5" s="15" t="n">
        <v>0.5</v>
      </c>
      <c r="L5" s="7" t="n">
        <v>24</v>
      </c>
      <c r="M5" s="7" t="s">
        <v>37</v>
      </c>
      <c r="N5" s="16" t="n">
        <f aca="false">IF(F5="","",F5*2)</f>
        <v>150</v>
      </c>
      <c r="O5" s="16" t="n">
        <f aca="false">IF(G5="","",G5*4)</f>
        <v>240</v>
      </c>
      <c r="P5" s="16" t="n">
        <f aca="false">IF(H5="","",H5*8)</f>
        <v>400</v>
      </c>
    </row>
    <row r="6" customFormat="false" ht="15" hidden="false" customHeight="false" outlineLevel="0" collapsed="false">
      <c r="A6" s="9" t="s">
        <v>38</v>
      </c>
      <c r="B6" s="10" t="s">
        <v>39</v>
      </c>
      <c r="C6" s="10" t="s">
        <v>34</v>
      </c>
      <c r="D6" s="10"/>
      <c r="E6" s="11"/>
      <c r="F6" s="11"/>
      <c r="G6" s="11"/>
      <c r="H6" s="11"/>
      <c r="I6" s="11"/>
      <c r="J6" s="11"/>
      <c r="K6" s="17"/>
      <c r="L6" s="10"/>
      <c r="M6" s="10"/>
      <c r="N6" s="18" t="str">
        <f aca="false">IF(F6="","",F6*2)</f>
        <v/>
      </c>
      <c r="O6" s="18" t="str">
        <f aca="false">IF(G6="","",G6*4)</f>
        <v/>
      </c>
      <c r="P6" s="18" t="str">
        <f aca="false">IF(H6="","",H6*8)</f>
        <v/>
      </c>
    </row>
    <row r="7" customFormat="false" ht="15" hidden="false" customHeight="false" outlineLevel="0" collapsed="false">
      <c r="A7" s="9" t="s">
        <v>40</v>
      </c>
      <c r="B7" s="10" t="s">
        <v>33</v>
      </c>
      <c r="C7" s="10" t="s">
        <v>34</v>
      </c>
      <c r="D7" s="10"/>
      <c r="E7" s="11"/>
      <c r="F7" s="11"/>
      <c r="G7" s="11"/>
      <c r="H7" s="11"/>
      <c r="I7" s="11"/>
      <c r="J7" s="11"/>
      <c r="K7" s="17"/>
      <c r="L7" s="10"/>
      <c r="M7" s="10"/>
      <c r="N7" s="18" t="str">
        <f aca="false">IF(F7="","",F7*2)</f>
        <v/>
      </c>
      <c r="O7" s="18" t="str">
        <f aca="false">IF(G7="","",G7*4)</f>
        <v/>
      </c>
      <c r="P7" s="18" t="str">
        <f aca="false">IF(H7="","",H7*8)</f>
        <v/>
      </c>
    </row>
    <row r="8" customFormat="false" ht="15" hidden="false" customHeight="false" outlineLevel="0" collapsed="false">
      <c r="A8" s="9" t="s">
        <v>41</v>
      </c>
      <c r="B8" s="10" t="s">
        <v>33</v>
      </c>
      <c r="C8" s="10" t="s">
        <v>34</v>
      </c>
      <c r="D8" s="10"/>
      <c r="E8" s="11"/>
      <c r="F8" s="11"/>
      <c r="G8" s="11"/>
      <c r="H8" s="11"/>
      <c r="I8" s="11"/>
      <c r="J8" s="11"/>
      <c r="K8" s="17"/>
      <c r="L8" s="10"/>
      <c r="M8" s="10"/>
      <c r="N8" s="18" t="str">
        <f aca="false">IF(F8="","",F8*2)</f>
        <v/>
      </c>
      <c r="O8" s="18" t="str">
        <f aca="false">IF(G8="","",G8*4)</f>
        <v/>
      </c>
      <c r="P8" s="18" t="str">
        <f aca="false">IF(H8="","",H8*8)</f>
        <v/>
      </c>
    </row>
    <row r="9" customFormat="false" ht="15" hidden="false" customHeight="false" outlineLevel="0" collapsed="false">
      <c r="A9" s="12"/>
      <c r="B9" s="13"/>
      <c r="C9" s="13"/>
      <c r="D9" s="13"/>
      <c r="E9" s="14"/>
      <c r="F9" s="14"/>
      <c r="G9" s="14"/>
      <c r="H9" s="14"/>
      <c r="I9" s="14"/>
      <c r="J9" s="14"/>
      <c r="K9" s="19"/>
      <c r="L9" s="13"/>
      <c r="M9" s="13"/>
      <c r="N9" s="20" t="str">
        <f aca="false">IF(F9="","",F9*2)</f>
        <v/>
      </c>
      <c r="O9" s="20" t="str">
        <f aca="false">IF(G9="","",G9*4)</f>
        <v/>
      </c>
      <c r="P9" s="20" t="str">
        <f aca="false">IF(H9="","",H9*8)</f>
        <v/>
      </c>
    </row>
    <row r="10" customFormat="false" ht="15" hidden="false" customHeight="false" outlineLevel="0" collapsed="false">
      <c r="A10" s="12"/>
      <c r="B10" s="13"/>
      <c r="C10" s="13"/>
      <c r="D10" s="13"/>
      <c r="E10" s="14"/>
      <c r="F10" s="14"/>
      <c r="G10" s="14"/>
      <c r="H10" s="14"/>
      <c r="I10" s="14"/>
      <c r="J10" s="14"/>
      <c r="K10" s="19"/>
      <c r="L10" s="13"/>
      <c r="M10" s="13"/>
      <c r="N10" s="20" t="str">
        <f aca="false">IF(F10="","",F10*2)</f>
        <v/>
      </c>
      <c r="O10" s="20" t="str">
        <f aca="false">IF(G10="","",G10*4)</f>
        <v/>
      </c>
      <c r="P10" s="20" t="str">
        <f aca="false">IF(H10="","",H10*8)</f>
        <v/>
      </c>
    </row>
    <row r="11" customFormat="false" ht="15" hidden="false" customHeight="false" outlineLevel="0" collapsed="false">
      <c r="A11" s="12"/>
      <c r="B11" s="13"/>
      <c r="C11" s="13"/>
      <c r="D11" s="13"/>
      <c r="E11" s="14"/>
      <c r="F11" s="14"/>
      <c r="G11" s="14"/>
      <c r="H11" s="14"/>
      <c r="I11" s="14"/>
      <c r="J11" s="14"/>
      <c r="K11" s="19"/>
      <c r="L11" s="13"/>
      <c r="M11" s="13"/>
      <c r="N11" s="20" t="str">
        <f aca="false">IF(F11="","",F11*2)</f>
        <v/>
      </c>
      <c r="O11" s="20" t="str">
        <f aca="false">IF(G11="","",G11*4)</f>
        <v/>
      </c>
      <c r="P11" s="20" t="str">
        <f aca="false">IF(H11="","",H11*8)</f>
        <v/>
      </c>
    </row>
    <row r="12" customFormat="false" ht="15" hidden="false" customHeight="false" outlineLevel="0" collapsed="false">
      <c r="A12" s="12"/>
      <c r="B12" s="13"/>
      <c r="C12" s="13"/>
      <c r="D12" s="13"/>
      <c r="E12" s="14"/>
      <c r="F12" s="14"/>
      <c r="G12" s="14"/>
      <c r="H12" s="14"/>
      <c r="I12" s="14"/>
      <c r="J12" s="14"/>
      <c r="K12" s="19"/>
      <c r="L12" s="13"/>
      <c r="M12" s="13"/>
      <c r="N12" s="20" t="str">
        <f aca="false">IF(F12="","",F12*2)</f>
        <v/>
      </c>
      <c r="O12" s="20" t="str">
        <f aca="false">IF(G12="","",G12*4)</f>
        <v/>
      </c>
      <c r="P12" s="20" t="str">
        <f aca="false">IF(H12="","",H12*8)</f>
        <v/>
      </c>
    </row>
    <row r="13" customFormat="false" ht="15" hidden="false" customHeight="false" outlineLevel="0" collapsed="false">
      <c r="A13" s="12"/>
      <c r="B13" s="13"/>
      <c r="C13" s="13"/>
      <c r="D13" s="13"/>
      <c r="E13" s="14"/>
      <c r="F13" s="14"/>
      <c r="G13" s="14"/>
      <c r="H13" s="14"/>
      <c r="I13" s="14"/>
      <c r="J13" s="14"/>
      <c r="K13" s="19"/>
      <c r="L13" s="13"/>
      <c r="M13" s="13"/>
      <c r="N13" s="20" t="str">
        <f aca="false">IF(F13="","",F13*2)</f>
        <v/>
      </c>
      <c r="O13" s="20" t="str">
        <f aca="false">IF(G13="","",G13*4)</f>
        <v/>
      </c>
      <c r="P13" s="20" t="str">
        <f aca="false">IF(H13="","",H13*8)</f>
        <v/>
      </c>
    </row>
    <row r="14" customFormat="false" ht="15" hidden="false" customHeight="false" outlineLevel="0" collapsed="false">
      <c r="A14" s="12"/>
      <c r="B14" s="13"/>
      <c r="C14" s="13"/>
      <c r="D14" s="13"/>
      <c r="E14" s="14"/>
      <c r="F14" s="14"/>
      <c r="G14" s="14"/>
      <c r="H14" s="14"/>
      <c r="I14" s="14"/>
      <c r="J14" s="14"/>
      <c r="K14" s="19"/>
      <c r="L14" s="13"/>
      <c r="M14" s="13"/>
      <c r="N14" s="20" t="str">
        <f aca="false">IF(F14="","",F14*2)</f>
        <v/>
      </c>
      <c r="O14" s="20" t="str">
        <f aca="false">IF(G14="","",G14*4)</f>
        <v/>
      </c>
      <c r="P14" s="20" t="str">
        <f aca="false">IF(H14="","",H14*8)</f>
        <v/>
      </c>
    </row>
    <row r="15" customFormat="false" ht="15" hidden="false" customHeight="false" outlineLevel="0" collapsed="false">
      <c r="A15" s="12"/>
      <c r="B15" s="13"/>
      <c r="C15" s="13"/>
      <c r="D15" s="13"/>
      <c r="E15" s="14"/>
      <c r="F15" s="14"/>
      <c r="G15" s="14"/>
      <c r="H15" s="14"/>
      <c r="I15" s="14"/>
      <c r="J15" s="14"/>
      <c r="K15" s="19"/>
      <c r="L15" s="13"/>
      <c r="M15" s="13"/>
      <c r="N15" s="20" t="str">
        <f aca="false">IF(F15="","",F15*2)</f>
        <v/>
      </c>
      <c r="O15" s="20" t="str">
        <f aca="false">IF(G15="","",G15*4)</f>
        <v/>
      </c>
      <c r="P15" s="20" t="str">
        <f aca="false">IF(H15="","",H15*8)</f>
        <v/>
      </c>
    </row>
    <row r="16" customFormat="false" ht="15" hidden="false" customHeight="false" outlineLevel="0" collapsed="false">
      <c r="A16" s="12"/>
      <c r="B16" s="13"/>
      <c r="C16" s="13"/>
      <c r="D16" s="13"/>
      <c r="E16" s="14"/>
      <c r="F16" s="14"/>
      <c r="G16" s="14"/>
      <c r="H16" s="14"/>
      <c r="I16" s="14"/>
      <c r="J16" s="14"/>
      <c r="K16" s="19"/>
      <c r="L16" s="13"/>
      <c r="M16" s="13"/>
      <c r="N16" s="20" t="str">
        <f aca="false">IF(F16="","",F16*2)</f>
        <v/>
      </c>
      <c r="O16" s="20" t="str">
        <f aca="false">IF(G16="","",G16*4)</f>
        <v/>
      </c>
      <c r="P16" s="20" t="str">
        <f aca="false">IF(H16="","",H16*8)</f>
        <v/>
      </c>
    </row>
    <row r="17" customFormat="false" ht="15" hidden="false" customHeight="false" outlineLevel="0" collapsed="false">
      <c r="A17" s="12"/>
      <c r="B17" s="13"/>
      <c r="C17" s="13"/>
      <c r="D17" s="13"/>
      <c r="E17" s="14"/>
      <c r="F17" s="14"/>
      <c r="G17" s="14"/>
      <c r="H17" s="14"/>
      <c r="I17" s="14"/>
      <c r="J17" s="14"/>
      <c r="K17" s="19"/>
      <c r="L17" s="13"/>
      <c r="M17" s="13"/>
      <c r="N17" s="20" t="str">
        <f aca="false">IF(F17="","",F17*2)</f>
        <v/>
      </c>
      <c r="O17" s="20" t="str">
        <f aca="false">IF(G17="","",G17*4)</f>
        <v/>
      </c>
      <c r="P17" s="20" t="str">
        <f aca="false">IF(H17="","",H17*8)</f>
        <v/>
      </c>
    </row>
    <row r="18" customFormat="false" ht="15" hidden="false" customHeight="false" outlineLevel="0" collapsed="false">
      <c r="A18" s="12"/>
      <c r="B18" s="13"/>
      <c r="C18" s="13"/>
      <c r="D18" s="13"/>
      <c r="E18" s="14"/>
      <c r="F18" s="14"/>
      <c r="G18" s="14"/>
      <c r="H18" s="14"/>
      <c r="I18" s="14"/>
      <c r="J18" s="14"/>
      <c r="K18" s="19"/>
      <c r="L18" s="13"/>
      <c r="M18" s="13"/>
      <c r="N18" s="20" t="str">
        <f aca="false">IF(F18="","",F18*2)</f>
        <v/>
      </c>
      <c r="O18" s="20" t="str">
        <f aca="false">IF(G18="","",G18*4)</f>
        <v/>
      </c>
      <c r="P18" s="20" t="str">
        <f aca="false">IF(H18="","",H18*8)</f>
        <v/>
      </c>
    </row>
  </sheetData>
  <mergeCells count="1">
    <mergeCell ref="A2:P2"/>
  </mergeCells>
  <dataValidations count="1">
    <dataValidation allowBlank="true" errorStyle="stop" operator="between" showDropDown="false" showErrorMessage="false" showInputMessage="false" sqref="B5:B18" type="list">
      <formula1>"Luxor,Aswan"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4" t="s">
        <v>56</v>
      </c>
    </row>
    <row r="2" customFormat="false" ht="48" hidden="false" customHeight="true" outlineLevel="0" collapsed="false">
      <c r="A2" s="5" t="s">
        <v>57</v>
      </c>
      <c r="B2" s="5"/>
      <c r="C2" s="5"/>
      <c r="D2" s="5"/>
      <c r="E2" s="5"/>
      <c r="F2" s="5"/>
      <c r="G2" s="5"/>
      <c r="H2" s="5"/>
      <c r="I2" s="5"/>
      <c r="J2" s="5"/>
    </row>
    <row r="4" customFormat="false" ht="45" hidden="false" customHeight="true" outlineLevel="0" collapsed="false">
      <c r="A4" s="6" t="s">
        <v>58</v>
      </c>
      <c r="B4" s="6" t="s">
        <v>59</v>
      </c>
      <c r="C4" s="6" t="s">
        <v>45</v>
      </c>
      <c r="D4" s="6" t="s">
        <v>46</v>
      </c>
      <c r="E4" s="6" t="s">
        <v>47</v>
      </c>
      <c r="F4" s="6" t="s">
        <v>48</v>
      </c>
      <c r="G4" s="6" t="s">
        <v>49</v>
      </c>
      <c r="H4" s="6" t="s">
        <v>51</v>
      </c>
      <c r="I4" s="6" t="s">
        <v>31</v>
      </c>
      <c r="J4" s="6" t="s">
        <v>52</v>
      </c>
    </row>
    <row r="5" customFormat="false" ht="26.85" hidden="false" customHeight="false" outlineLevel="0" collapsed="false">
      <c r="A5" s="7" t="s">
        <v>60</v>
      </c>
      <c r="B5" s="7" t="s">
        <v>61</v>
      </c>
      <c r="C5" s="8" t="n">
        <v>600</v>
      </c>
      <c r="D5" s="8" t="n">
        <v>380</v>
      </c>
      <c r="E5" s="8" t="n">
        <v>310</v>
      </c>
      <c r="F5" s="8" t="n">
        <v>260</v>
      </c>
      <c r="G5" s="8" t="n">
        <v>230</v>
      </c>
      <c r="H5" s="15" t="n">
        <v>0.5</v>
      </c>
      <c r="I5" s="7" t="s">
        <v>37</v>
      </c>
      <c r="J5" s="16" t="n">
        <f aca="false">IF(D5="","",D5*2)</f>
        <v>760</v>
      </c>
    </row>
    <row r="6" customFormat="false" ht="26.85" hidden="false" customHeight="false" outlineLevel="0" collapsed="false">
      <c r="A6" s="9" t="s">
        <v>62</v>
      </c>
      <c r="B6" s="9" t="s">
        <v>63</v>
      </c>
      <c r="C6" s="11"/>
      <c r="D6" s="11"/>
      <c r="E6" s="11"/>
      <c r="F6" s="11"/>
      <c r="G6" s="11"/>
      <c r="H6" s="17"/>
      <c r="I6" s="10"/>
      <c r="J6" s="18" t="str">
        <f aca="false">IF(D6="","",D6*2)</f>
        <v/>
      </c>
    </row>
    <row r="7" customFormat="false" ht="26.85" hidden="false" customHeight="false" outlineLevel="0" collapsed="false">
      <c r="A7" s="9" t="s">
        <v>64</v>
      </c>
      <c r="B7" s="9" t="s">
        <v>61</v>
      </c>
      <c r="C7" s="11"/>
      <c r="D7" s="11"/>
      <c r="E7" s="11"/>
      <c r="F7" s="11"/>
      <c r="G7" s="11"/>
      <c r="H7" s="17"/>
      <c r="I7" s="10"/>
      <c r="J7" s="18" t="str">
        <f aca="false">IF(D7="","",D7*2)</f>
        <v/>
      </c>
    </row>
    <row r="8" customFormat="false" ht="15" hidden="false" customHeight="false" outlineLevel="0" collapsed="false">
      <c r="A8" s="12"/>
      <c r="B8" s="12"/>
      <c r="C8" s="14"/>
      <c r="D8" s="14"/>
      <c r="E8" s="14"/>
      <c r="F8" s="14"/>
      <c r="G8" s="14"/>
      <c r="H8" s="19"/>
      <c r="I8" s="13"/>
      <c r="J8" s="20" t="str">
        <f aca="false">IF(D8="","",D8*2)</f>
        <v/>
      </c>
    </row>
    <row r="9" customFormat="false" ht="15" hidden="false" customHeight="false" outlineLevel="0" collapsed="false">
      <c r="A9" s="12"/>
      <c r="B9" s="12"/>
      <c r="C9" s="14"/>
      <c r="D9" s="14"/>
      <c r="E9" s="14"/>
      <c r="F9" s="14"/>
      <c r="G9" s="14"/>
      <c r="H9" s="19"/>
      <c r="I9" s="13"/>
      <c r="J9" s="20" t="str">
        <f aca="false">IF(D9="","",D9*2)</f>
        <v/>
      </c>
    </row>
    <row r="10" customFormat="false" ht="15" hidden="false" customHeight="false" outlineLevel="0" collapsed="false">
      <c r="A10" s="12"/>
      <c r="B10" s="12"/>
      <c r="C10" s="14"/>
      <c r="D10" s="14"/>
      <c r="E10" s="14"/>
      <c r="F10" s="14"/>
      <c r="G10" s="14"/>
      <c r="H10" s="19"/>
      <c r="I10" s="13"/>
      <c r="J10" s="20" t="str">
        <f aca="false">IF(D10="","",D10*2)</f>
        <v/>
      </c>
    </row>
    <row r="11" customFormat="false" ht="15" hidden="false" customHeight="false" outlineLevel="0" collapsed="false">
      <c r="A11" s="12"/>
      <c r="B11" s="12"/>
      <c r="C11" s="14"/>
      <c r="D11" s="14"/>
      <c r="E11" s="14"/>
      <c r="F11" s="14"/>
      <c r="G11" s="14"/>
      <c r="H11" s="19"/>
      <c r="I11" s="13"/>
      <c r="J11" s="20" t="str">
        <f aca="false">IF(D11="","",D11*2)</f>
        <v/>
      </c>
    </row>
    <row r="12" customFormat="false" ht="15" hidden="false" customHeight="false" outlineLevel="0" collapsed="false">
      <c r="A12" s="12"/>
      <c r="B12" s="12"/>
      <c r="C12" s="14"/>
      <c r="D12" s="14"/>
      <c r="E12" s="14"/>
      <c r="F12" s="14"/>
      <c r="G12" s="14"/>
      <c r="H12" s="19"/>
      <c r="I12" s="13"/>
      <c r="J12" s="20" t="str">
        <f aca="false">IF(D12="","",D12*2)</f>
        <v/>
      </c>
    </row>
    <row r="13" customFormat="false" ht="15" hidden="false" customHeight="false" outlineLevel="0" collapsed="false">
      <c r="A13" s="12"/>
      <c r="B13" s="12"/>
      <c r="C13" s="14"/>
      <c r="D13" s="14"/>
      <c r="E13" s="14"/>
      <c r="F13" s="14"/>
      <c r="G13" s="14"/>
      <c r="H13" s="19"/>
      <c r="I13" s="13"/>
      <c r="J13" s="20" t="str">
        <f aca="false">IF(D13="","",D13*2)</f>
        <v/>
      </c>
    </row>
    <row r="14" customFormat="false" ht="15" hidden="false" customHeight="false" outlineLevel="0" collapsed="false">
      <c r="A14" s="12"/>
      <c r="B14" s="12"/>
      <c r="C14" s="14"/>
      <c r="D14" s="14"/>
      <c r="E14" s="14"/>
      <c r="F14" s="14"/>
      <c r="G14" s="14"/>
      <c r="H14" s="19"/>
      <c r="I14" s="13"/>
      <c r="J14" s="20" t="str">
        <f aca="false">IF(D14="","",D14*2)</f>
        <v/>
      </c>
    </row>
    <row r="15" customFormat="false" ht="15" hidden="false" customHeight="false" outlineLevel="0" collapsed="false">
      <c r="A15" s="12"/>
      <c r="B15" s="12"/>
      <c r="C15" s="14"/>
      <c r="D15" s="14"/>
      <c r="E15" s="14"/>
      <c r="F15" s="14"/>
      <c r="G15" s="14"/>
      <c r="H15" s="19"/>
      <c r="I15" s="13"/>
      <c r="J15" s="20" t="str">
        <f aca="false">IF(D15="","",D15*2)</f>
        <v/>
      </c>
    </row>
    <row r="16" customFormat="false" ht="15" hidden="false" customHeight="false" outlineLevel="0" collapsed="false">
      <c r="A16" s="12"/>
      <c r="B16" s="12"/>
      <c r="C16" s="14"/>
      <c r="D16" s="14"/>
      <c r="E16" s="14"/>
      <c r="F16" s="14"/>
      <c r="G16" s="14"/>
      <c r="H16" s="19"/>
      <c r="I16" s="13"/>
      <c r="J16" s="20" t="str">
        <f aca="false">IF(D16="","",D16*2)</f>
        <v/>
      </c>
    </row>
    <row r="17" customFormat="false" ht="15" hidden="false" customHeight="false" outlineLevel="0" collapsed="false">
      <c r="A17" s="12"/>
      <c r="B17" s="12"/>
      <c r="C17" s="14"/>
      <c r="D17" s="14"/>
      <c r="E17" s="14"/>
      <c r="F17" s="14"/>
      <c r="G17" s="14"/>
      <c r="H17" s="19"/>
      <c r="I17" s="13"/>
      <c r="J17" s="20" t="str">
        <f aca="false">IF(D17="","",D17*2)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4" t="s">
        <v>65</v>
      </c>
    </row>
    <row r="2" customFormat="false" ht="48" hidden="false" customHeight="true" outlineLevel="0" collapsed="false">
      <c r="A2" s="5" t="s">
        <v>66</v>
      </c>
      <c r="B2" s="5"/>
      <c r="C2" s="5"/>
      <c r="D2" s="5"/>
      <c r="E2" s="5"/>
      <c r="F2" s="5"/>
      <c r="G2" s="5"/>
      <c r="H2" s="5"/>
      <c r="I2" s="5"/>
    </row>
    <row r="4" customFormat="false" ht="45" hidden="false" customHeight="true" outlineLevel="0" collapsed="false">
      <c r="A4" s="6" t="s">
        <v>67</v>
      </c>
      <c r="B4" s="6" t="s">
        <v>21</v>
      </c>
      <c r="C4" s="6" t="s">
        <v>68</v>
      </c>
      <c r="D4" s="6" t="s">
        <v>69</v>
      </c>
      <c r="E4" s="6" t="s">
        <v>70</v>
      </c>
      <c r="F4" s="6" t="s">
        <v>71</v>
      </c>
      <c r="G4" s="6" t="s">
        <v>72</v>
      </c>
      <c r="H4" s="6" t="s">
        <v>29</v>
      </c>
      <c r="I4" s="6" t="s">
        <v>31</v>
      </c>
    </row>
    <row r="5" customFormat="false" ht="26.85" hidden="false" customHeight="false" outlineLevel="0" collapsed="false">
      <c r="A5" s="7" t="s">
        <v>73</v>
      </c>
      <c r="B5" s="7" t="s">
        <v>33</v>
      </c>
      <c r="C5" s="7" t="s">
        <v>74</v>
      </c>
      <c r="D5" s="8" t="n">
        <v>25</v>
      </c>
      <c r="E5" s="8" t="n">
        <v>35</v>
      </c>
      <c r="F5" s="8" t="n">
        <v>55</v>
      </c>
      <c r="G5" s="8" t="n">
        <v>10</v>
      </c>
      <c r="H5" s="7" t="n">
        <v>12</v>
      </c>
      <c r="I5" s="7" t="s">
        <v>37</v>
      </c>
    </row>
    <row r="6" customFormat="false" ht="15" hidden="false" customHeight="false" outlineLevel="0" collapsed="false">
      <c r="A6" s="9" t="s">
        <v>75</v>
      </c>
      <c r="B6" s="9" t="s">
        <v>39</v>
      </c>
      <c r="C6" s="10" t="s">
        <v>76</v>
      </c>
      <c r="D6" s="11"/>
      <c r="E6" s="11"/>
      <c r="F6" s="11"/>
      <c r="G6" s="11"/>
      <c r="H6" s="10"/>
      <c r="I6" s="10"/>
    </row>
    <row r="7" customFormat="false" ht="15" hidden="false" customHeight="false" outlineLevel="0" collapsed="false">
      <c r="A7" s="9" t="s">
        <v>75</v>
      </c>
      <c r="B7" s="9" t="s">
        <v>39</v>
      </c>
      <c r="C7" s="10" t="s">
        <v>77</v>
      </c>
      <c r="D7" s="11"/>
      <c r="E7" s="11"/>
      <c r="F7" s="11"/>
      <c r="G7" s="11"/>
      <c r="H7" s="10"/>
      <c r="I7" s="10"/>
    </row>
    <row r="8" customFormat="false" ht="15" hidden="false" customHeight="false" outlineLevel="0" collapsed="false">
      <c r="A8" s="9" t="s">
        <v>78</v>
      </c>
      <c r="B8" s="9" t="s">
        <v>33</v>
      </c>
      <c r="C8" s="10" t="s">
        <v>74</v>
      </c>
      <c r="D8" s="11"/>
      <c r="E8" s="11"/>
      <c r="F8" s="11"/>
      <c r="G8" s="11"/>
      <c r="H8" s="10"/>
      <c r="I8" s="10"/>
    </row>
    <row r="9" customFormat="false" ht="15" hidden="false" customHeight="false" outlineLevel="0" collapsed="false">
      <c r="A9" s="9" t="s">
        <v>78</v>
      </c>
      <c r="B9" s="9" t="s">
        <v>33</v>
      </c>
      <c r="C9" s="10" t="s">
        <v>79</v>
      </c>
      <c r="D9" s="11"/>
      <c r="E9" s="11"/>
      <c r="F9" s="11"/>
      <c r="G9" s="11"/>
      <c r="H9" s="10"/>
      <c r="I9" s="10"/>
    </row>
    <row r="10" customFormat="false" ht="15" hidden="false" customHeight="false" outlineLevel="0" collapsed="false">
      <c r="A10" s="12"/>
      <c r="B10" s="12"/>
      <c r="C10" s="13"/>
      <c r="D10" s="14"/>
      <c r="E10" s="14"/>
      <c r="F10" s="14"/>
      <c r="G10" s="14"/>
      <c r="H10" s="13"/>
      <c r="I10" s="13"/>
    </row>
    <row r="11" customFormat="false" ht="15" hidden="false" customHeight="false" outlineLevel="0" collapsed="false">
      <c r="A11" s="12"/>
      <c r="B11" s="12"/>
      <c r="C11" s="13"/>
      <c r="D11" s="14"/>
      <c r="E11" s="14"/>
      <c r="F11" s="14"/>
      <c r="G11" s="14"/>
      <c r="H11" s="13"/>
      <c r="I11" s="13"/>
    </row>
    <row r="12" customFormat="false" ht="15" hidden="false" customHeight="false" outlineLevel="0" collapsed="false">
      <c r="A12" s="12"/>
      <c r="B12" s="12"/>
      <c r="C12" s="13"/>
      <c r="D12" s="14"/>
      <c r="E12" s="14"/>
      <c r="F12" s="14"/>
      <c r="G12" s="14"/>
      <c r="H12" s="13"/>
      <c r="I12" s="13"/>
    </row>
    <row r="13" customFormat="false" ht="15" hidden="false" customHeight="false" outlineLevel="0" collapsed="false">
      <c r="A13" s="12"/>
      <c r="B13" s="12"/>
      <c r="C13" s="13"/>
      <c r="D13" s="14"/>
      <c r="E13" s="14"/>
      <c r="F13" s="14"/>
      <c r="G13" s="14"/>
      <c r="H13" s="13"/>
      <c r="I13" s="13"/>
    </row>
    <row r="14" customFormat="false" ht="15" hidden="false" customHeight="false" outlineLevel="0" collapsed="false">
      <c r="A14" s="12"/>
      <c r="B14" s="12"/>
      <c r="C14" s="13"/>
      <c r="D14" s="14"/>
      <c r="E14" s="14"/>
      <c r="F14" s="14"/>
      <c r="G14" s="14"/>
      <c r="H14" s="13"/>
      <c r="I14" s="13"/>
    </row>
    <row r="15" customFormat="false" ht="15" hidden="false" customHeight="false" outlineLevel="0" collapsed="false">
      <c r="A15" s="12"/>
      <c r="B15" s="12"/>
      <c r="C15" s="13"/>
      <c r="D15" s="14"/>
      <c r="E15" s="14"/>
      <c r="F15" s="14"/>
      <c r="G15" s="14"/>
      <c r="H15" s="13"/>
      <c r="I15" s="13"/>
    </row>
    <row r="16" customFormat="false" ht="15" hidden="false" customHeight="false" outlineLevel="0" collapsed="false">
      <c r="A16" s="12"/>
      <c r="B16" s="12"/>
      <c r="C16" s="13"/>
      <c r="D16" s="14"/>
      <c r="E16" s="14"/>
      <c r="F16" s="14"/>
      <c r="G16" s="14"/>
      <c r="H16" s="13"/>
      <c r="I16" s="13"/>
    </row>
    <row r="17" customFormat="false" ht="15" hidden="false" customHeight="false" outlineLevel="0" collapsed="false">
      <c r="A17" s="12"/>
      <c r="B17" s="12"/>
      <c r="C17" s="13"/>
      <c r="D17" s="14"/>
      <c r="E17" s="14"/>
      <c r="F17" s="14"/>
      <c r="G17" s="14"/>
      <c r="H17" s="13"/>
      <c r="I17" s="13"/>
    </row>
    <row r="18" customFormat="false" ht="15" hidden="false" customHeight="false" outlineLevel="0" collapsed="false">
      <c r="A18" s="12"/>
      <c r="B18" s="12"/>
      <c r="C18" s="13"/>
      <c r="D18" s="14"/>
      <c r="E18" s="14"/>
      <c r="F18" s="14"/>
      <c r="G18" s="14"/>
      <c r="H18" s="13"/>
      <c r="I18" s="13"/>
    </row>
    <row r="19" customFormat="false" ht="15" hidden="false" customHeight="false" outlineLevel="0" collapsed="false">
      <c r="A19" s="12"/>
      <c r="B19" s="12"/>
      <c r="C19" s="13"/>
      <c r="D19" s="14"/>
      <c r="E19" s="14"/>
      <c r="F19" s="14"/>
      <c r="G19" s="14"/>
      <c r="H19" s="13"/>
      <c r="I19" s="13"/>
    </row>
  </sheetData>
  <mergeCells count="1">
    <mergeCell ref="A2:I2"/>
  </mergeCells>
  <dataValidations count="1">
    <dataValidation allowBlank="true" errorStyle="stop" operator="between" showDropDown="false" showErrorMessage="false" showInputMessage="false" sqref="B5:B19" type="list">
      <formula1>"Luxor,Aswan"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7" min="4" style="0" width="13"/>
    <col collapsed="false" customWidth="true" hidden="false" outlineLevel="0" max="8" min="8" style="0" width="34"/>
  </cols>
  <sheetData>
    <row r="1" customFormat="false" ht="17.35" hidden="false" customHeight="false" outlineLevel="0" collapsed="false">
      <c r="A1" s="4" t="s">
        <v>80</v>
      </c>
    </row>
    <row r="2" customFormat="false" ht="48" hidden="false" customHeight="true" outlineLevel="0" collapsed="false">
      <c r="A2" s="5" t="s">
        <v>81</v>
      </c>
      <c r="B2" s="5"/>
      <c r="C2" s="5"/>
      <c r="D2" s="5"/>
      <c r="E2" s="5"/>
      <c r="F2" s="5"/>
      <c r="G2" s="5"/>
      <c r="H2" s="5"/>
    </row>
    <row r="4" customFormat="false" ht="45" hidden="false" customHeight="true" outlineLevel="0" collapsed="false">
      <c r="A4" s="6" t="s">
        <v>82</v>
      </c>
      <c r="B4" s="6" t="s">
        <v>21</v>
      </c>
      <c r="C4" s="6" t="s">
        <v>83</v>
      </c>
      <c r="D4" s="6" t="s">
        <v>84</v>
      </c>
      <c r="E4" s="6" t="s">
        <v>85</v>
      </c>
      <c r="F4" s="6" t="s">
        <v>86</v>
      </c>
      <c r="G4" s="6" t="s">
        <v>29</v>
      </c>
      <c r="H4" s="6" t="s">
        <v>31</v>
      </c>
    </row>
    <row r="5" customFormat="false" ht="26.85" hidden="false" customHeight="false" outlineLevel="0" collapsed="false">
      <c r="A5" s="7" t="s">
        <v>87</v>
      </c>
      <c r="B5" s="7" t="s">
        <v>33</v>
      </c>
      <c r="C5" s="7" t="s">
        <v>88</v>
      </c>
      <c r="D5" s="8" t="n">
        <v>20</v>
      </c>
      <c r="E5" s="8" t="n">
        <v>30</v>
      </c>
      <c r="F5" s="8" t="n">
        <v>45</v>
      </c>
      <c r="G5" s="7" t="n">
        <v>12</v>
      </c>
      <c r="H5" s="7" t="s">
        <v>37</v>
      </c>
    </row>
    <row r="6" customFormat="false" ht="15" hidden="false" customHeight="false" outlineLevel="0" collapsed="false">
      <c r="A6" s="9" t="s">
        <v>89</v>
      </c>
      <c r="B6" s="9" t="s">
        <v>39</v>
      </c>
      <c r="C6" s="9" t="s">
        <v>88</v>
      </c>
      <c r="D6" s="11"/>
      <c r="E6" s="11"/>
      <c r="F6" s="11"/>
      <c r="G6" s="10"/>
      <c r="H6" s="10"/>
    </row>
    <row r="7" customFormat="false" ht="15" hidden="false" customHeight="false" outlineLevel="0" collapsed="false">
      <c r="A7" s="9" t="s">
        <v>89</v>
      </c>
      <c r="B7" s="9" t="s">
        <v>39</v>
      </c>
      <c r="C7" s="9" t="s">
        <v>90</v>
      </c>
      <c r="D7" s="11"/>
      <c r="E7" s="11"/>
      <c r="F7" s="11"/>
      <c r="G7" s="10"/>
      <c r="H7" s="10"/>
    </row>
    <row r="8" customFormat="false" ht="15" hidden="false" customHeight="false" outlineLevel="0" collapsed="false">
      <c r="A8" s="9" t="s">
        <v>91</v>
      </c>
      <c r="B8" s="9" t="s">
        <v>33</v>
      </c>
      <c r="C8" s="9" t="s">
        <v>88</v>
      </c>
      <c r="D8" s="11"/>
      <c r="E8" s="11"/>
      <c r="F8" s="11"/>
      <c r="G8" s="10"/>
      <c r="H8" s="10"/>
    </row>
    <row r="9" customFormat="false" ht="15" hidden="false" customHeight="false" outlineLevel="0" collapsed="false">
      <c r="A9" s="9" t="s">
        <v>91</v>
      </c>
      <c r="B9" s="9" t="s">
        <v>33</v>
      </c>
      <c r="C9" s="9" t="s">
        <v>90</v>
      </c>
      <c r="D9" s="11"/>
      <c r="E9" s="11"/>
      <c r="F9" s="11"/>
      <c r="G9" s="10"/>
      <c r="H9" s="10"/>
    </row>
    <row r="10" customFormat="false" ht="15" hidden="false" customHeight="false" outlineLevel="0" collapsed="false">
      <c r="A10" s="12"/>
      <c r="B10" s="12"/>
      <c r="C10" s="12"/>
      <c r="D10" s="14"/>
      <c r="E10" s="14"/>
      <c r="F10" s="14"/>
      <c r="G10" s="13"/>
      <c r="H10" s="13"/>
    </row>
    <row r="11" customFormat="false" ht="15" hidden="false" customHeight="false" outlineLevel="0" collapsed="false">
      <c r="A11" s="12"/>
      <c r="B11" s="12"/>
      <c r="C11" s="12"/>
      <c r="D11" s="14"/>
      <c r="E11" s="14"/>
      <c r="F11" s="14"/>
      <c r="G11" s="13"/>
      <c r="H11" s="13"/>
    </row>
    <row r="12" customFormat="false" ht="15" hidden="false" customHeight="false" outlineLevel="0" collapsed="false">
      <c r="A12" s="12"/>
      <c r="B12" s="12"/>
      <c r="C12" s="12"/>
      <c r="D12" s="14"/>
      <c r="E12" s="14"/>
      <c r="F12" s="14"/>
      <c r="G12" s="13"/>
      <c r="H12" s="13"/>
    </row>
    <row r="13" customFormat="false" ht="15" hidden="false" customHeight="false" outlineLevel="0" collapsed="false">
      <c r="A13" s="12"/>
      <c r="B13" s="12"/>
      <c r="C13" s="12"/>
      <c r="D13" s="14"/>
      <c r="E13" s="14"/>
      <c r="F13" s="14"/>
      <c r="G13" s="13"/>
      <c r="H13" s="13"/>
    </row>
    <row r="14" customFormat="false" ht="15" hidden="false" customHeight="false" outlineLevel="0" collapsed="false">
      <c r="A14" s="12"/>
      <c r="B14" s="12"/>
      <c r="C14" s="12"/>
      <c r="D14" s="14"/>
      <c r="E14" s="14"/>
      <c r="F14" s="14"/>
      <c r="G14" s="13"/>
      <c r="H14" s="13"/>
    </row>
    <row r="15" customFormat="false" ht="15" hidden="false" customHeight="false" outlineLevel="0" collapsed="false">
      <c r="A15" s="12"/>
      <c r="B15" s="12"/>
      <c r="C15" s="12"/>
      <c r="D15" s="14"/>
      <c r="E15" s="14"/>
      <c r="F15" s="14"/>
      <c r="G15" s="13"/>
      <c r="H15" s="13"/>
    </row>
    <row r="16" customFormat="false" ht="15" hidden="false" customHeight="false" outlineLevel="0" collapsed="false">
      <c r="A16" s="12"/>
      <c r="B16" s="12"/>
      <c r="C16" s="12"/>
      <c r="D16" s="14"/>
      <c r="E16" s="14"/>
      <c r="F16" s="14"/>
      <c r="G16" s="13"/>
      <c r="H16" s="13"/>
    </row>
    <row r="17" customFormat="false" ht="15" hidden="false" customHeight="false" outlineLevel="0" collapsed="false">
      <c r="A17" s="12"/>
      <c r="B17" s="12"/>
      <c r="C17" s="12"/>
      <c r="D17" s="14"/>
      <c r="E17" s="14"/>
      <c r="F17" s="14"/>
      <c r="G17" s="13"/>
      <c r="H17" s="13"/>
    </row>
    <row r="18" customFormat="false" ht="15" hidden="false" customHeight="false" outlineLevel="0" collapsed="false">
      <c r="A18" s="12"/>
      <c r="B18" s="12"/>
      <c r="C18" s="12"/>
      <c r="D18" s="14"/>
      <c r="E18" s="14"/>
      <c r="F18" s="14"/>
      <c r="G18" s="13"/>
      <c r="H18" s="13"/>
    </row>
    <row r="19" customFormat="false" ht="15" hidden="false" customHeight="false" outlineLevel="0" collapsed="false">
      <c r="A19" s="12"/>
      <c r="B19" s="12"/>
      <c r="C19" s="12"/>
      <c r="D19" s="14"/>
      <c r="E19" s="14"/>
      <c r="F19" s="14"/>
      <c r="G19" s="13"/>
      <c r="H19" s="13"/>
    </row>
  </sheetData>
  <mergeCells count="1">
    <mergeCell ref="A2:H2"/>
  </mergeCells>
  <dataValidations count="1">
    <dataValidation allowBlank="true" errorStyle="stop" operator="between" showDropDown="false" showErrorMessage="false" showInputMessage="false" sqref="C5:C19" type="list">
      <formula1>"Arrival,Departure"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4" t="s">
        <v>92</v>
      </c>
    </row>
    <row r="2" customFormat="false" ht="48" hidden="false" customHeight="true" outlineLevel="0" collapsed="false">
      <c r="A2" s="5" t="s">
        <v>93</v>
      </c>
      <c r="B2" s="5"/>
      <c r="C2" s="5"/>
      <c r="D2" s="5"/>
      <c r="E2" s="5"/>
      <c r="F2" s="5"/>
    </row>
    <row r="4" customFormat="false" ht="45" hidden="false" customHeight="true" outlineLevel="0" collapsed="false">
      <c r="A4" s="6" t="s">
        <v>94</v>
      </c>
      <c r="B4" s="6" t="s">
        <v>95</v>
      </c>
      <c r="C4" s="6" t="s">
        <v>96</v>
      </c>
      <c r="D4" s="6" t="s">
        <v>97</v>
      </c>
      <c r="E4" s="6" t="s">
        <v>98</v>
      </c>
      <c r="F4" s="6" t="s">
        <v>31</v>
      </c>
    </row>
    <row r="5" customFormat="false" ht="26.85" hidden="false" customHeight="false" outlineLevel="0" collapsed="false">
      <c r="A5" s="7" t="s">
        <v>99</v>
      </c>
      <c r="B5" s="7" t="s">
        <v>100</v>
      </c>
      <c r="C5" s="7" t="s">
        <v>101</v>
      </c>
      <c r="D5" s="15" t="n">
        <v>0.2</v>
      </c>
      <c r="E5" s="7" t="s">
        <v>102</v>
      </c>
      <c r="F5" s="7" t="s">
        <v>103</v>
      </c>
    </row>
    <row r="6" customFormat="false" ht="15" hidden="false" customHeight="false" outlineLevel="0" collapsed="false">
      <c r="A6" s="10"/>
      <c r="B6" s="10"/>
      <c r="C6" s="10"/>
      <c r="D6" s="17"/>
      <c r="E6" s="10"/>
      <c r="F6" s="10"/>
    </row>
    <row r="7" customFormat="false" ht="15" hidden="false" customHeight="false" outlineLevel="0" collapsed="false">
      <c r="A7" s="10"/>
      <c r="B7" s="10"/>
      <c r="C7" s="10"/>
      <c r="D7" s="17"/>
      <c r="E7" s="10"/>
      <c r="F7" s="10"/>
    </row>
    <row r="8" customFormat="false" ht="15" hidden="false" customHeight="false" outlineLevel="0" collapsed="false">
      <c r="A8" s="10"/>
      <c r="B8" s="10"/>
      <c r="C8" s="10"/>
      <c r="D8" s="17"/>
      <c r="E8" s="10"/>
      <c r="F8" s="10"/>
    </row>
    <row r="9" customFormat="false" ht="15" hidden="false" customHeight="false" outlineLevel="0" collapsed="false">
      <c r="A9" s="13"/>
      <c r="B9" s="13"/>
      <c r="C9" s="13"/>
      <c r="D9" s="19"/>
      <c r="E9" s="13"/>
      <c r="F9" s="13"/>
    </row>
    <row r="10" customFormat="false" ht="15" hidden="false" customHeight="false" outlineLevel="0" collapsed="false">
      <c r="A10" s="13"/>
      <c r="B10" s="13"/>
      <c r="C10" s="13"/>
      <c r="D10" s="19"/>
      <c r="E10" s="13"/>
      <c r="F10" s="13"/>
    </row>
    <row r="11" customFormat="false" ht="15" hidden="false" customHeight="false" outlineLevel="0" collapsed="false">
      <c r="A11" s="13"/>
      <c r="B11" s="13"/>
      <c r="C11" s="13"/>
      <c r="D11" s="19"/>
      <c r="E11" s="13"/>
      <c r="F11" s="13"/>
    </row>
    <row r="12" customFormat="false" ht="15" hidden="false" customHeight="false" outlineLevel="0" collapsed="false">
      <c r="A12" s="13"/>
      <c r="B12" s="13"/>
      <c r="C12" s="13"/>
      <c r="D12" s="19"/>
      <c r="E12" s="13"/>
      <c r="F12" s="13"/>
    </row>
    <row r="13" customFormat="false" ht="15" hidden="false" customHeight="false" outlineLevel="0" collapsed="false">
      <c r="A13" s="13"/>
      <c r="B13" s="13"/>
      <c r="C13" s="13"/>
      <c r="D13" s="19"/>
      <c r="E13" s="13"/>
      <c r="F13" s="13"/>
    </row>
    <row r="14" customFormat="false" ht="15" hidden="false" customHeight="false" outlineLevel="0" collapsed="false">
      <c r="A14" s="13"/>
      <c r="B14" s="13"/>
      <c r="C14" s="13"/>
      <c r="D14" s="19"/>
      <c r="E14" s="13"/>
      <c r="F14" s="13"/>
    </row>
    <row r="15" customFormat="false" ht="15" hidden="false" customHeight="false" outlineLevel="0" collapsed="false">
      <c r="A15" s="13"/>
      <c r="B15" s="13"/>
      <c r="C15" s="13"/>
      <c r="D15" s="19"/>
      <c r="E15" s="13"/>
      <c r="F15" s="13"/>
    </row>
    <row r="16" customFormat="false" ht="15" hidden="false" customHeight="false" outlineLevel="0" collapsed="false">
      <c r="A16" s="13"/>
      <c r="B16" s="13"/>
      <c r="C16" s="13"/>
      <c r="D16" s="19"/>
      <c r="E16" s="13"/>
      <c r="F16" s="13"/>
    </row>
    <row r="17" customFormat="false" ht="15" hidden="false" customHeight="false" outlineLevel="0" collapsed="false">
      <c r="A17" s="13"/>
      <c r="B17" s="13"/>
      <c r="C17" s="13"/>
      <c r="D17" s="19"/>
      <c r="E17" s="13"/>
      <c r="F17" s="13"/>
    </row>
    <row r="18" customFormat="false" ht="15" hidden="false" customHeight="false" outlineLevel="0" collapsed="false">
      <c r="A18" s="13"/>
      <c r="B18" s="13"/>
      <c r="C18" s="13"/>
      <c r="D18" s="19"/>
      <c r="E18" s="13"/>
      <c r="F18" s="13"/>
    </row>
  </sheetData>
  <mergeCells count="1">
    <mergeCell ref="A2:F2"/>
  </mergeCells>
  <dataValidations count="1">
    <dataValidation allowBlank="true" errorStyle="stop" operator="between" showDropDown="false" showErrorMessage="false" showInputMessage="false" sqref="E5:E18" type="list">
      <formula1>"All,Shared,Private,Transfers"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42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4" t="s">
        <v>104</v>
      </c>
    </row>
    <row r="3" customFormat="false" ht="15" hidden="false" customHeight="false" outlineLevel="0" collapsed="false">
      <c r="A3" s="21" t="s">
        <v>105</v>
      </c>
      <c r="B3" s="21" t="s">
        <v>106</v>
      </c>
      <c r="C3" s="21" t="s">
        <v>107</v>
      </c>
      <c r="D3" s="21" t="s">
        <v>108</v>
      </c>
    </row>
    <row r="4" customFormat="false" ht="31.5" hidden="false" customHeight="true" outlineLevel="0" collapsed="false">
      <c r="A4" s="12" t="n">
        <v>1</v>
      </c>
      <c r="B4" s="9" t="s">
        <v>109</v>
      </c>
      <c r="C4" s="22"/>
      <c r="D4" s="7" t="s">
        <v>110</v>
      </c>
    </row>
    <row r="5" customFormat="false" ht="31.5" hidden="false" customHeight="true" outlineLevel="0" collapsed="false">
      <c r="A5" s="12" t="n">
        <v>2</v>
      </c>
      <c r="B5" s="9" t="s">
        <v>111</v>
      </c>
      <c r="C5" s="22"/>
      <c r="D5" s="7" t="s">
        <v>112</v>
      </c>
    </row>
    <row r="6" customFormat="false" ht="31.5" hidden="false" customHeight="true" outlineLevel="0" collapsed="false">
      <c r="A6" s="12" t="n">
        <v>3</v>
      </c>
      <c r="B6" s="9" t="s">
        <v>113</v>
      </c>
      <c r="C6" s="22"/>
      <c r="D6" s="7" t="s">
        <v>114</v>
      </c>
    </row>
    <row r="7" customFormat="false" ht="31.5" hidden="false" customHeight="true" outlineLevel="0" collapsed="false">
      <c r="A7" s="12" t="n">
        <v>4</v>
      </c>
      <c r="B7" s="9" t="s">
        <v>115</v>
      </c>
      <c r="C7" s="22"/>
      <c r="D7" s="7" t="s">
        <v>116</v>
      </c>
    </row>
    <row r="8" customFormat="false" ht="31.5" hidden="false" customHeight="true" outlineLevel="0" collapsed="false">
      <c r="A8" s="12" t="n">
        <v>5</v>
      </c>
      <c r="B8" s="9" t="s">
        <v>117</v>
      </c>
      <c r="C8" s="22"/>
      <c r="D8" s="7" t="s">
        <v>36</v>
      </c>
    </row>
    <row r="9" customFormat="false" ht="31.5" hidden="false" customHeight="true" outlineLevel="0" collapsed="false">
      <c r="A9" s="12" t="n">
        <v>6</v>
      </c>
      <c r="B9" s="9" t="s">
        <v>118</v>
      </c>
      <c r="C9" s="22"/>
      <c r="D9" s="7" t="s">
        <v>119</v>
      </c>
    </row>
    <row r="10" customFormat="false" ht="31.5" hidden="false" customHeight="true" outlineLevel="0" collapsed="false">
      <c r="A10" s="12" t="n">
        <v>7</v>
      </c>
      <c r="B10" s="9" t="s">
        <v>120</v>
      </c>
      <c r="C10" s="22"/>
      <c r="D10" s="7" t="s">
        <v>121</v>
      </c>
    </row>
  </sheetData>
  <dataValidations count="7">
    <dataValidation allowBlank="true" errorStyle="stop" operator="between" showDropDown="false" showErrorMessage="false" showInputMessage="false" sqref="C4" type="list">
      <formula1>"Confirmed at once,Office confirms within 24 hours"</formula1>
      <formula2>0</formula2>
    </dataValidation>
    <dataValidation allowBlank="true" errorStyle="stop" operator="between" showDropDown="false" showErrorMessage="false" showInputMessage="false" sqref="C5" type="list">
      <formula1>"Run it anyway,Offer private at the shared price,Cancel and refund in full"</formula1>
      <formula2>0</formula2>
    </dataValidation>
    <dataValidation allowBlank="true" errorStyle="stop" operator="between" showDropDown="false" showErrorMessage="false" showInputMessage="false" sqref="C6" type="list">
      <formula1>"3 months,6 months,12 months"</formula1>
      <formula2>0</formula2>
    </dataValidation>
    <dataValidation allowBlank="true" errorStyle="stop" operator="between" showDropDown="false" showErrorMessage="false" showInputMessage="false" sqref="C7" type="list">
      <formula1>"12 hours,24 hours,48 hours"</formula1>
      <formula2>0</formula2>
    </dataValidation>
    <dataValidation allowBlank="true" errorStyle="stop" operator="between" showDropDown="false" showErrorMessage="false" showInputMessage="false" sqref="C8" type="list">
      <formula1>"Yes,No"</formula1>
      <formula2>0</formula2>
    </dataValidation>
    <dataValidation allowBlank="true" errorStyle="stop" operator="between" showDropDown="false" showErrorMessage="false" showInputMessage="false" sqref="C9" type="list">
      <formula1>"Yes,one login per office,No,Nilecruz admins only"</formula1>
      <formula2>0</formula2>
    </dataValidation>
    <dataValidation allowBlank="true" errorStyle="stop" operator="between" showDropDown="false" showErrorMessage="false" showInputMessage="false" sqref="C10" type="list">
      <formula1>"Free until 48 h before; then 100%,Free until 24 h before; then 100%,Set per tour"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2026-10-20T15:26:11Z</dcterms:created>
  <dc:creator>openpyxl</dc:creator>
  <dc:description/>
  <dc:language>en-EG</dc:language>
  <cp:lastModifiedBy/>
  <dcterms:modified xsi:type="dcterms:W3CDTF">2026-10-20T15:26:11Z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