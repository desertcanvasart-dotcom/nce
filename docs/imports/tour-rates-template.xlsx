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Shared tours" sheetId="2" r:id="rId5"/>
    <sheet state="visible" name="Private tours" sheetId="3" r:id="rId6"/>
    <sheet state="visible" name="Programs" sheetId="4" r:id="rId7"/>
    <sheet state="visible" name="Transfers" sheetId="5" r:id="rId8"/>
    <sheet state="visible" name="Meet and assist" sheetId="6" r:id="rId9"/>
    <sheet state="visible" name="Seasons" sheetId="7" r:id="rId10"/>
    <sheet state="visible" name="Questions" sheetId="8" r:id="rId11"/>
  </sheets>
  <definedNames/>
  <calcPr/>
  <extLst>
    <ext uri="GoogleSheetsCustomDataVersion2">
      <go:sheetsCustomData xmlns:go="http://customooxmlschemas.google.com/" r:id="rId12" roundtripDataChecksum="hPKa0dzDzegS/0jrGuOFEKzmqTWiOJ/WQjHy45FW71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ID#doco.dtrzTqPVY5HV5cKLYiIlBQ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hMkMxW2PgHJaGEH3V8hjdW3m4e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ID#doco.zCtExLTJo-A8vydUc_-cbg
Nilecruz    (2026-10-20 15:33:24)
Enter as a %, e.g. 50% means a child pays half the adult price for that party size.</t>
      </text>
    </comment>
    <comment authorId="0" ref="A5">
      <text>
        <t xml:space="preserve">======
ID#doco.EHQrseOairfM-YjX3VJPpA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hI/JvpijaKBEoxMKJfcz2NTjhBE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ID#doco.hcIfq8LZ3TLS2Vw3cMc-0g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hzZXkpU9iTdXVN6NU8j7p0lQ+BE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ID#doco.PWFRQWZm2O9bwD0wpeCSrg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iKz2nZBHyF0zxd/XBfh/IR892eu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ID#doco.kg6pD1cHGpf2xuyX86F7xQ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jq3fXwpNHMLveorl8SfFZQW/mAL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ID#doco.j2pa9aM80SNkuTn4km2vJA
Nilecruz    (2026-10-20 15:33:24)
Example only, to show the format. Not a real price: delete or ignore it.</t>
      </text>
    </comment>
  </commentList>
  <extLst>
    <ext uri="GoogleSheetsCustomDataVersion2">
      <go:sheetsCustomData xmlns:go="http://customooxmlschemas.google.com/" r:id="rId1" roundtripDataSignature="AMtx7mgbiouJlkzOYgd7xOOWVLdIOCI4Ug=="/>
    </ext>
  </extLst>
</comments>
</file>

<file path=xl/sharedStrings.xml><?xml version="1.0" encoding="utf-8"?>
<sst xmlns="http://schemas.openxmlformats.org/spreadsheetml/2006/main" count="196" uniqueCount="126">
  <si>
    <t>Shared tours</t>
  </si>
  <si>
    <t>Nilecruz tour rates: what to fill in</t>
  </si>
  <si>
    <t>Day trips run as a SHARED group (up to 8 guests from different bookings). Price per person. Leave a tour's row empty if it is never shared.</t>
  </si>
  <si>
    <t>How to use this file</t>
  </si>
  <si>
    <t>Programs</t>
  </si>
  <si>
    <t>Private tours</t>
  </si>
  <si>
    <t>• Fill in the YELLOW cells only. Grey italic rows are examples showing the format; they are not real prices.</t>
  </si>
  <si>
    <t>• All prices in US$ (the bank account is in USD). Write whole dollars, e.g. 45 or 120.</t>
  </si>
  <si>
    <t>Tour</t>
  </si>
  <si>
    <t>• One row per tour. The 9 tours already on nilecruz.com are listed; add new ones in the empty rows below them.</t>
  </si>
  <si>
    <t>Multi-day sightseeing that goes with a cruise. Always PRIVATE; dates follow the customer's cruise. Price PER PERSON by party size.</t>
  </si>
  <si>
    <t>Office</t>
  </si>
  <si>
    <t>Days it runs</t>
  </si>
  <si>
    <t>Start time(s)</t>
  </si>
  <si>
    <t>The same day trips as a PRIVATE tour: the party's own guide and vehicle. Price PER PERSON for each party size; parties of 9 or more (friends, family) are always private. Grey columns show the total for that party size.</t>
  </si>
  <si>
    <t>Adult price per person (US$)</t>
  </si>
  <si>
    <t>Child 6–11 per person (US$)</t>
  </si>
  <si>
    <t>Child 3–5 per person (US$)</t>
  </si>
  <si>
    <t>• Office = the Nilecruz office in Luxor or Aswan that runs the tour (our own supplier).</t>
  </si>
  <si>
    <t>Max guests per group</t>
  </si>
  <si>
    <t>Minimum guests to run</t>
  </si>
  <si>
    <t>Book at least (hours before)</t>
  </si>
  <si>
    <t>Entrance tickets included? (Yes/No)</t>
  </si>
  <si>
    <t>Notes</t>
  </si>
  <si>
    <t>Program</t>
  </si>
  <si>
    <t>Offices</t>
  </si>
  <si>
    <t>1 guest: per person (US$)</t>
  </si>
  <si>
    <t>2 guests: per person (US$)</t>
  </si>
  <si>
    <t>3–4 guests: per person (US$)</t>
  </si>
  <si>
    <t>5–8 guests: per person (US$)</t>
  </si>
  <si>
    <t>Example: Dendera Temple Half-Day Trip from Luxor</t>
  </si>
  <si>
    <t>9–14 guests: per person (US$)</t>
  </si>
  <si>
    <t>Child 6–11 (% of adult)</t>
  </si>
  <si>
    <t>Total for 2 (US$)</t>
  </si>
  <si>
    <t>Start time(s) or 'flexible'</t>
  </si>
  <si>
    <t>Example: 4-Night Nile Cruise Sightseeing: Luxor to Aswan</t>
  </si>
  <si>
    <t>How the rates will work on the site</t>
  </si>
  <si>
    <t>Luxor + Aswan</t>
  </si>
  <si>
    <t>Luxor</t>
  </si>
  <si>
    <t>Every day</t>
  </si>
  <si>
    <t>08:00</t>
  </si>
  <si>
    <t>15+ guests: per person (US$)</t>
  </si>
  <si>
    <t>• No fixed dates: the customer picks a date on a calendar, a start time, shared or private, and the number of guests.</t>
  </si>
  <si>
    <t>Total for 4 (US$)</t>
  </si>
  <si>
    <t>Total for 8 (US$)</t>
  </si>
  <si>
    <t>• SHARED tour: a price per person. Up to 8 guests share one group on a given date and start time; when 8 places are taken, that slot is full.</t>
  </si>
  <si>
    <t>Yes</t>
  </si>
  <si>
    <t>• PRIVATE tour: the party's own guide and vehicle, priced per person by party size (bigger parties pay less each). Families or friends of 9 or more always book private.</t>
  </si>
  <si>
    <t>Example only</t>
  </si>
  <si>
    <t>• TRANSFERS: private only, priced per vehicle (car, van or minibus by party size), each direction.</t>
  </si>
  <si>
    <t>flexible</t>
  </si>
  <si>
    <t>Abu Simbel Day Trip from Aswan by Road</t>
  </si>
  <si>
    <t>• MEET AND ASSIST: sold separately, priced per party by size.</t>
  </si>
  <si>
    <t>Aswan</t>
  </si>
  <si>
    <t>• Sightseeing PROGRAMS for a cruise: private, priced per person by party size; dates follow the customer's cruise.</t>
  </si>
  <si>
    <t>• Children: give the child prices in the columns provided; under-3s are free unless you say otherwise.</t>
  </si>
  <si>
    <t>• Seasons (optional): on the Seasons tab you can raise or lower all prices by a % between two dates, e.g. Christmas.</t>
  </si>
  <si>
    <t>Abydos and Dendera Full-Day Trip from Luxor</t>
  </si>
  <si>
    <t>Tabs</t>
  </si>
  <si>
    <t>Dendera Temple Half-Day Trip from Luxor</t>
  </si>
  <si>
    <t>3-Night Nile Cruise Sightseeing: Aswan to Luxor</t>
  </si>
  <si>
    <t>Aswan + Luxor</t>
  </si>
  <si>
    <t>Shared tours · Private tours · Programs · Transfers · Meet and assist · Seasons · Questions</t>
  </si>
  <si>
    <t>Please also answer the short list on the Questions tab: it decides how bookings are confirmed.</t>
  </si>
  <si>
    <t>4-Night Nile Cruise Sightseeing: Luxor to Aswan</t>
  </si>
  <si>
    <t>Transfers</t>
  </si>
  <si>
    <t>Airport and hotel transfers: PRIVATE only. Price PER VEHICLE, ONE WAY. The vehicle depends on the party size.</t>
  </si>
  <si>
    <t>Transfer</t>
  </si>
  <si>
    <t>From → To</t>
  </si>
  <si>
    <t>Car, 1–3 guests (US$)</t>
  </si>
  <si>
    <t>Van, 4–8 guests (US$)</t>
  </si>
  <si>
    <t>Minibus, 9–14 guests (US$)</t>
  </si>
  <si>
    <t>Meet and assist</t>
  </si>
  <si>
    <t>Night extra 22:00–06:00 (US$)</t>
  </si>
  <si>
    <t>Example: Luxor Airport Private Transfer</t>
  </si>
  <si>
    <t>Luxor Airport → ship or hotel in Luxor</t>
  </si>
  <si>
    <t>A representative meets the party at the airport (arrival) or helps them check in (departure). Sold separately. Price PER PARTY.</t>
  </si>
  <si>
    <t>Aswan Airport Private Transfer</t>
  </si>
  <si>
    <t>Aswan Airport → ship or hotel in Aswan</t>
  </si>
  <si>
    <t>Service</t>
  </si>
  <si>
    <t>Arrival or departure</t>
  </si>
  <si>
    <t>1–4 guests (US$)</t>
  </si>
  <si>
    <t>5–8 guests (US$)</t>
  </si>
  <si>
    <t>9–14 guests (US$)</t>
  </si>
  <si>
    <t>Example: Meet and Assist: Luxor Airport</t>
  </si>
  <si>
    <t>Ship or hotel in Aswan → Aswan Airport</t>
  </si>
  <si>
    <t>Luxor Airport Private Transfer</t>
  </si>
  <si>
    <t>Arrival</t>
  </si>
  <si>
    <t>Ship or hotel in Luxor → Luxor Airport</t>
  </si>
  <si>
    <t>Meet and Assist: Aswan Airport</t>
  </si>
  <si>
    <t>Departure</t>
  </si>
  <si>
    <t>Meet and Assist: Luxor Airport</t>
  </si>
  <si>
    <t>Seasons</t>
  </si>
  <si>
    <t>Optional. Raise (or lower) every tour price by a % between two dates. Leave empty if prices are the same all year.</t>
  </si>
  <si>
    <t>Season</t>
  </si>
  <si>
    <t>From (date)</t>
  </si>
  <si>
    <t>To (date)</t>
  </si>
  <si>
    <t>Price change (%)</t>
  </si>
  <si>
    <t>Applies to (All / Shared / Private / Transfers)</t>
  </si>
  <si>
    <t>Example: Christmas and New Year</t>
  </si>
  <si>
    <t>2026-12-24</t>
  </si>
  <si>
    <t>2027-01-07</t>
  </si>
  <si>
    <t>All</t>
  </si>
  <si>
    <t>Example only: 20% more</t>
  </si>
  <si>
    <t>no season supplements for tours</t>
  </si>
  <si>
    <t>A few decisions (choose an answer in column C)</t>
  </si>
  <si>
    <t>#</t>
  </si>
  <si>
    <t>Question</t>
  </si>
  <si>
    <t>Your answer</t>
  </si>
  <si>
    <t>Recommended</t>
  </si>
  <si>
    <t>When a customer books and pays, is the tour confirmed at once, or does the office confirm it first?</t>
  </si>
  <si>
    <t>Confirmed at once</t>
  </si>
  <si>
    <t>Confirmed at once (the office sees every booking in its dashboard)</t>
  </si>
  <si>
    <t>If a shared tour does not reach its minimum guests, what happens?</t>
  </si>
  <si>
    <t>Offer private at the shared price</t>
  </si>
  <si>
    <t>How far ahead can customers book?</t>
  </si>
  <si>
    <t>1 week</t>
  </si>
  <si>
    <t>12 months</t>
  </si>
  <si>
    <t>Latest booking time before the tour (if not set per tour)?</t>
  </si>
  <si>
    <t>24 hours</t>
  </si>
  <si>
    <t>Can a customer book a tour without a cruise booked on Nilecruz?</t>
  </si>
  <si>
    <t>Who handles each booking: the Luxor and Aswan offices get their own dashboard logins?</t>
  </si>
  <si>
    <t>Nilecruz admins only</t>
  </si>
  <si>
    <t>Yes, one login per office</t>
  </si>
  <si>
    <t>Cancellation for tours (per tour today): use one standard rule for all tours?</t>
  </si>
  <si>
    <t>Free until 48 h before; then 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</si>
</sst>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S$&quot;#,##0;&quot;(US$&quot;#,##0\);\-"/>
  </numFmts>
  <fonts count="11">
    <font>
      <sz val="11.0"/>
      <color theme="1"/>
      <name val="Calibri"/>
      <scheme val="minor"/>
    </font>
    <font>
      <b/>
      <sz val="14.0"/>
      <color theme="1"/>
      <name val="Twentieth Century"/>
    </font>
    <font>
      <color theme="1"/>
      <name val="Twentieth Century"/>
    </font>
    <font>
      <sz val="11.0"/>
      <color theme="1"/>
      <name val="Twentieth Century"/>
    </font>
    <font>
      <b/>
      <sz val="11.0"/>
      <color theme="1"/>
      <name val="Twentieth Century"/>
    </font>
    <font>
      <b/>
      <sz val="11.0"/>
      <color rgb="FFFFFFFF"/>
      <name val="Twentieth Century"/>
    </font>
    <font>
      <i/>
      <sz val="11.0"/>
      <color rgb="FF808080"/>
      <name val="Twentieth Century"/>
    </font>
    <font>
      <b/>
      <sz val="14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i/>
      <sz val="11.0"/>
      <color rgb="FF808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3" numFmtId="164" xfId="0" applyAlignment="1" applyBorder="1" applyFill="1" applyFont="1" applyNumberFormat="1">
      <alignment readingOrder="0"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0" fillId="0" fontId="6" numFmtId="164" xfId="0" applyAlignment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3" numFmtId="9" xfId="0" applyAlignment="1" applyBorder="1" applyFill="1" applyFont="1" applyNumberFormat="1">
      <alignment readingOrder="0" shrinkToFit="0" vertical="top" wrapText="1"/>
    </xf>
    <xf borderId="1" fillId="3" fontId="3" numFmtId="0" xfId="0" applyAlignment="1" applyBorder="1" applyFill="1" applyFont="1">
      <alignment shrinkToFit="0" vertical="bottom" wrapText="0"/>
    </xf>
    <xf borderId="1" fillId="0" fontId="3" numFmtId="164" xfId="0" applyAlignment="1" applyBorder="1" applyFont="1" applyNumberFormat="1">
      <alignment shrinkToFit="0" vertical="top" wrapText="1"/>
    </xf>
    <xf borderId="1" fillId="3" fontId="3" numFmtId="164" xfId="0" applyAlignment="1" applyBorder="1" applyFill="1" applyFont="1" applyNumberFormat="1">
      <alignment shrinkToFit="0" vertical="bottom" wrapText="0"/>
    </xf>
    <xf borderId="1" fillId="3" fontId="3" numFmtId="9" xfId="0" applyAlignment="1" applyBorder="1" applyFill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3" fontId="3" numFmtId="164" xfId="0" applyAlignment="1" applyBorder="1" applyFill="1" applyFont="1" applyNumberFormat="1">
      <alignment shrinkToFit="0" vertical="top" wrapText="1"/>
    </xf>
    <xf borderId="1" fillId="3" fontId="3" numFmtId="9" xfId="0" applyAlignment="1" applyBorder="1" applyFill="1" applyFont="1" applyNumberFormat="1">
      <alignment shrinkToFit="0" vertical="top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1" fillId="2" fontId="9" numFmtId="0" xfId="0" applyAlignment="1" applyBorder="1" applyFill="1" applyFont="1">
      <alignment shrinkToFit="0" vertical="center" wrapText="1"/>
    </xf>
    <xf borderId="1" fillId="0" fontId="10" numFmtId="0" xfId="0" applyAlignment="1" applyBorder="1" applyFont="1">
      <alignment shrinkToFit="0" vertical="top" wrapText="1"/>
    </xf>
    <xf borderId="1" fillId="0" fontId="10" numFmtId="9" xfId="0" applyAlignment="1" applyBorder="1" applyFont="1" applyNumberFormat="1">
      <alignment shrinkToFit="0" vertical="top" wrapText="1"/>
    </xf>
    <xf borderId="1" fillId="3" fontId="8" numFmtId="0" xfId="0" applyAlignment="1" applyBorder="1" applyFill="1" applyFont="1">
      <alignment shrinkToFit="0" vertical="top" wrapText="1"/>
    </xf>
    <xf borderId="1" fillId="3" fontId="8" numFmtId="0" xfId="0" applyAlignment="1" applyBorder="1" applyFill="1" applyFont="1">
      <alignment readingOrder="0" shrinkToFit="0" vertical="top" wrapText="1"/>
    </xf>
    <xf borderId="1" fillId="3" fontId="8" numFmtId="9" xfId="0" applyAlignment="1" applyBorder="1" applyFill="1" applyFont="1" applyNumberFormat="1">
      <alignment shrinkToFit="0" vertical="top" wrapText="1"/>
    </xf>
    <xf borderId="1" fillId="3" fontId="8" numFmtId="0" xfId="0" applyAlignment="1" applyBorder="1" applyFill="1" applyFont="1">
      <alignment shrinkToFit="0" vertical="bottom" wrapText="0"/>
    </xf>
    <xf borderId="1" fillId="3" fontId="8" numFmtId="9" xfId="0" applyAlignment="1" applyBorder="1" applyFill="1" applyFont="1" applyNumberForma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36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63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4.0"/>
    <col customWidth="1" min="2" max="2" width="12.29"/>
    <col customWidth="1" min="3" max="3" width="16.0"/>
    <col customWidth="1" min="4" max="7" width="14.0"/>
    <col customWidth="1" min="8" max="9" width="11.0"/>
    <col customWidth="1" min="10" max="10" width="13.0"/>
    <col customWidth="1" min="11" max="11" width="14.0"/>
    <col customWidth="1" min="12" max="12" width="30.0"/>
    <col customWidth="1" min="13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6" t="s">
        <v>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7" t="s">
        <v>8</v>
      </c>
      <c r="B4" s="7" t="s">
        <v>11</v>
      </c>
      <c r="C4" s="7" t="s">
        <v>12</v>
      </c>
      <c r="D4" s="7" t="s">
        <v>13</v>
      </c>
      <c r="E4" s="7" t="s">
        <v>15</v>
      </c>
      <c r="F4" s="7" t="s">
        <v>16</v>
      </c>
      <c r="G4" s="7" t="s">
        <v>17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30</v>
      </c>
      <c r="B5" s="8" t="s">
        <v>38</v>
      </c>
      <c r="C5" s="8" t="s">
        <v>39</v>
      </c>
      <c r="D5" s="8" t="s">
        <v>40</v>
      </c>
      <c r="E5" s="9">
        <v>40.0</v>
      </c>
      <c r="F5" s="9">
        <v>20.0</v>
      </c>
      <c r="G5" s="9">
        <v>10.0</v>
      </c>
      <c r="H5" s="8">
        <v>8.0</v>
      </c>
      <c r="I5" s="10">
        <v>4.0</v>
      </c>
      <c r="J5" s="10">
        <v>48.0</v>
      </c>
      <c r="K5" s="8" t="s">
        <v>46</v>
      </c>
      <c r="L5" s="8" t="s">
        <v>48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51</v>
      </c>
      <c r="B6" s="13" t="s">
        <v>53</v>
      </c>
      <c r="C6" s="13" t="s">
        <v>39</v>
      </c>
      <c r="D6" s="13" t="s">
        <v>40</v>
      </c>
      <c r="E6" s="14">
        <v>96.0</v>
      </c>
      <c r="F6" s="14">
        <v>48.0</v>
      </c>
      <c r="G6" s="14">
        <v>20.0</v>
      </c>
      <c r="H6" s="13">
        <v>8.0</v>
      </c>
      <c r="I6" s="15">
        <v>4.0</v>
      </c>
      <c r="J6" s="15">
        <v>48.0</v>
      </c>
      <c r="K6" s="15" t="s">
        <v>46</v>
      </c>
      <c r="L6" s="1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57</v>
      </c>
      <c r="B7" s="13" t="s">
        <v>38</v>
      </c>
      <c r="C7" s="13" t="s">
        <v>39</v>
      </c>
      <c r="D7" s="13" t="s">
        <v>40</v>
      </c>
      <c r="E7" s="14">
        <v>80.0</v>
      </c>
      <c r="F7" s="14">
        <v>40.0</v>
      </c>
      <c r="G7" s="14">
        <v>15.0</v>
      </c>
      <c r="H7" s="13">
        <v>8.0</v>
      </c>
      <c r="I7" s="15">
        <v>4.0</v>
      </c>
      <c r="J7" s="15">
        <v>48.0</v>
      </c>
      <c r="K7" s="15" t="s">
        <v>46</v>
      </c>
      <c r="L7" s="1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59</v>
      </c>
      <c r="B8" s="13" t="s">
        <v>38</v>
      </c>
      <c r="C8" s="13" t="s">
        <v>39</v>
      </c>
      <c r="D8" s="13" t="s">
        <v>40</v>
      </c>
      <c r="E8" s="14">
        <v>65.0</v>
      </c>
      <c r="F8" s="14">
        <v>35.0</v>
      </c>
      <c r="G8" s="14">
        <v>10.0</v>
      </c>
      <c r="H8" s="13">
        <v>8.0</v>
      </c>
      <c r="I8" s="15">
        <v>4.0</v>
      </c>
      <c r="J8" s="15">
        <v>48.0</v>
      </c>
      <c r="K8" s="15" t="s">
        <v>46</v>
      </c>
      <c r="L8" s="1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9"/>
      <c r="C9" s="19"/>
      <c r="D9" s="19"/>
      <c r="E9" s="21"/>
      <c r="F9" s="21"/>
      <c r="G9" s="21"/>
      <c r="H9" s="19"/>
      <c r="I9" s="19"/>
      <c r="J9" s="19"/>
      <c r="K9" s="19"/>
      <c r="L9" s="1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9"/>
      <c r="C10" s="19"/>
      <c r="D10" s="19"/>
      <c r="E10" s="21"/>
      <c r="F10" s="21"/>
      <c r="G10" s="21"/>
      <c r="H10" s="19"/>
      <c r="I10" s="19"/>
      <c r="J10" s="19"/>
      <c r="K10" s="19"/>
      <c r="L10" s="1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9"/>
      <c r="C11" s="19"/>
      <c r="D11" s="19"/>
      <c r="E11" s="21"/>
      <c r="F11" s="21"/>
      <c r="G11" s="21"/>
      <c r="H11" s="19"/>
      <c r="I11" s="19"/>
      <c r="J11" s="19"/>
      <c r="K11" s="19"/>
      <c r="L11" s="1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9"/>
      <c r="C12" s="19"/>
      <c r="D12" s="19"/>
      <c r="E12" s="21"/>
      <c r="F12" s="21"/>
      <c r="G12" s="21"/>
      <c r="H12" s="19"/>
      <c r="I12" s="19"/>
      <c r="J12" s="19"/>
      <c r="K12" s="19"/>
      <c r="L12" s="1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9"/>
      <c r="C13" s="19"/>
      <c r="D13" s="19"/>
      <c r="E13" s="21"/>
      <c r="F13" s="21"/>
      <c r="G13" s="21"/>
      <c r="H13" s="19"/>
      <c r="I13" s="19"/>
      <c r="J13" s="19"/>
      <c r="K13" s="19"/>
      <c r="L13" s="1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9"/>
      <c r="C14" s="19"/>
      <c r="D14" s="19"/>
      <c r="E14" s="21"/>
      <c r="F14" s="21"/>
      <c r="G14" s="21"/>
      <c r="H14" s="19"/>
      <c r="I14" s="19"/>
      <c r="J14" s="19"/>
      <c r="K14" s="19"/>
      <c r="L14" s="1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9"/>
      <c r="C15" s="19"/>
      <c r="D15" s="19"/>
      <c r="E15" s="21"/>
      <c r="F15" s="21"/>
      <c r="G15" s="21"/>
      <c r="H15" s="19"/>
      <c r="I15" s="19"/>
      <c r="J15" s="19"/>
      <c r="K15" s="19"/>
      <c r="L15" s="1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9"/>
      <c r="C16" s="19"/>
      <c r="D16" s="19"/>
      <c r="E16" s="21"/>
      <c r="F16" s="21"/>
      <c r="G16" s="21"/>
      <c r="H16" s="19"/>
      <c r="I16" s="19"/>
      <c r="J16" s="19"/>
      <c r="K16" s="19"/>
      <c r="L16" s="1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9"/>
      <c r="C17" s="19"/>
      <c r="D17" s="19"/>
      <c r="E17" s="21"/>
      <c r="F17" s="21"/>
      <c r="G17" s="21"/>
      <c r="H17" s="19"/>
      <c r="I17" s="19"/>
      <c r="J17" s="19"/>
      <c r="K17" s="19"/>
      <c r="L17" s="1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9"/>
      <c r="C18" s="19"/>
      <c r="D18" s="19"/>
      <c r="E18" s="21"/>
      <c r="F18" s="21"/>
      <c r="G18" s="21"/>
      <c r="H18" s="19"/>
      <c r="I18" s="19"/>
      <c r="J18" s="19"/>
      <c r="K18" s="19"/>
      <c r="L18" s="1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L2"/>
  </mergeCells>
  <dataValidations>
    <dataValidation type="list" allowBlank="1" sqref="B5:B18">
      <formula1>"Luxor,Aswan"</formula1>
    </dataValidation>
    <dataValidation type="list" allowBlank="1" sqref="K5:K18">
      <formula1>"Yes,No"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95.71"/>
    <col customWidth="1" min="2" max="2" width="9.29"/>
    <col customWidth="1" min="3" max="3" width="11.57"/>
    <col customWidth="1" min="4" max="4" width="14.0"/>
    <col customWidth="1" min="5" max="5" width="11.29"/>
    <col customWidth="1" min="6" max="6" width="10.43"/>
    <col customWidth="1" min="7" max="8" width="11.0"/>
    <col customWidth="1" min="9" max="9" width="10.57"/>
    <col customWidth="1" min="10" max="10" width="11.43"/>
    <col customWidth="1" min="11" max="11" width="10.57"/>
    <col customWidth="1" min="12" max="12" width="11.29"/>
    <col customWidth="1" min="13" max="13" width="11.86"/>
    <col customWidth="1" min="14" max="16" width="10.0"/>
    <col customWidth="1" min="17" max="26" width="8.71"/>
  </cols>
  <sheetData>
    <row r="1">
      <c r="A1" s="1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6" t="s">
        <v>14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7" t="s">
        <v>8</v>
      </c>
      <c r="B4" s="7" t="s">
        <v>11</v>
      </c>
      <c r="C4" s="7" t="s">
        <v>12</v>
      </c>
      <c r="D4" s="7" t="s">
        <v>34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31</v>
      </c>
      <c r="J4" s="7" t="s">
        <v>41</v>
      </c>
      <c r="K4" s="7" t="s">
        <v>32</v>
      </c>
      <c r="L4" s="7" t="s">
        <v>21</v>
      </c>
      <c r="M4" s="7" t="s">
        <v>23</v>
      </c>
      <c r="N4" s="7" t="s">
        <v>33</v>
      </c>
      <c r="O4" s="7" t="s">
        <v>43</v>
      </c>
      <c r="P4" s="7" t="s">
        <v>44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30</v>
      </c>
      <c r="B5" s="8" t="s">
        <v>38</v>
      </c>
      <c r="C5" s="8" t="s">
        <v>39</v>
      </c>
      <c r="D5" s="8" t="s">
        <v>50</v>
      </c>
      <c r="E5" s="9">
        <v>120.0</v>
      </c>
      <c r="F5" s="9">
        <v>75.0</v>
      </c>
      <c r="G5" s="9">
        <v>60.0</v>
      </c>
      <c r="H5" s="9">
        <v>50.0</v>
      </c>
      <c r="I5" s="9">
        <v>42.0</v>
      </c>
      <c r="J5" s="9">
        <v>38.0</v>
      </c>
      <c r="K5" s="11">
        <v>0.5</v>
      </c>
      <c r="L5" s="8">
        <v>24.0</v>
      </c>
      <c r="M5" s="8" t="s">
        <v>48</v>
      </c>
      <c r="N5" s="16">
        <f t="shared" ref="N5:N18" si="1">IF(F5="","",F5*2)</f>
        <v>150</v>
      </c>
      <c r="O5" s="16">
        <f t="shared" ref="O5:O18" si="2">IF(G5="","",G5*4)</f>
        <v>240</v>
      </c>
      <c r="P5" s="16">
        <f t="shared" ref="P5:P18" si="3">IF(H5="","",H5*8)</f>
        <v>400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51</v>
      </c>
      <c r="B6" s="13" t="s">
        <v>53</v>
      </c>
      <c r="C6" s="13" t="s">
        <v>39</v>
      </c>
      <c r="D6" s="13"/>
      <c r="E6" s="14">
        <v>312.0</v>
      </c>
      <c r="F6" s="14">
        <v>147.0</v>
      </c>
      <c r="G6" s="14">
        <v>110.0</v>
      </c>
      <c r="H6" s="14">
        <v>73.0</v>
      </c>
      <c r="I6" s="14">
        <v>63.0</v>
      </c>
      <c r="J6" s="24"/>
      <c r="K6" s="25"/>
      <c r="L6" s="13"/>
      <c r="M6" s="13"/>
      <c r="N6" s="20">
        <f t="shared" si="1"/>
        <v>294</v>
      </c>
      <c r="O6" s="20">
        <f t="shared" si="2"/>
        <v>440</v>
      </c>
      <c r="P6" s="20">
        <f t="shared" si="3"/>
        <v>584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57</v>
      </c>
      <c r="B7" s="13" t="s">
        <v>38</v>
      </c>
      <c r="C7" s="13" t="s">
        <v>39</v>
      </c>
      <c r="D7" s="13"/>
      <c r="E7" s="14">
        <v>229.0</v>
      </c>
      <c r="F7" s="14">
        <v>120.0</v>
      </c>
      <c r="G7" s="14">
        <v>89.0</v>
      </c>
      <c r="H7" s="14">
        <v>58.0</v>
      </c>
      <c r="I7" s="14">
        <v>47.0</v>
      </c>
      <c r="J7" s="24"/>
      <c r="K7" s="25"/>
      <c r="L7" s="13"/>
      <c r="M7" s="13"/>
      <c r="N7" s="20">
        <f t="shared" si="1"/>
        <v>240</v>
      </c>
      <c r="O7" s="20">
        <f t="shared" si="2"/>
        <v>356</v>
      </c>
      <c r="P7" s="20">
        <f t="shared" si="3"/>
        <v>464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59</v>
      </c>
      <c r="B8" s="13" t="s">
        <v>38</v>
      </c>
      <c r="C8" s="13" t="s">
        <v>39</v>
      </c>
      <c r="D8" s="13"/>
      <c r="E8" s="14">
        <v>122.0</v>
      </c>
      <c r="F8" s="14">
        <v>66.0</v>
      </c>
      <c r="G8" s="14">
        <v>49.0</v>
      </c>
      <c r="H8" s="14">
        <v>32.0</v>
      </c>
      <c r="I8" s="14">
        <v>25.0</v>
      </c>
      <c r="J8" s="24"/>
      <c r="K8" s="25"/>
      <c r="L8" s="13"/>
      <c r="M8" s="13"/>
      <c r="N8" s="20">
        <f t="shared" si="1"/>
        <v>132</v>
      </c>
      <c r="O8" s="20">
        <f t="shared" si="2"/>
        <v>196</v>
      </c>
      <c r="P8" s="20">
        <f t="shared" si="3"/>
        <v>256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9"/>
      <c r="C9" s="19"/>
      <c r="D9" s="19"/>
      <c r="E9" s="21"/>
      <c r="F9" s="21"/>
      <c r="G9" s="21"/>
      <c r="H9" s="21"/>
      <c r="I9" s="21"/>
      <c r="J9" s="21"/>
      <c r="K9" s="22"/>
      <c r="L9" s="19"/>
      <c r="M9" s="19"/>
      <c r="N9" s="23" t="str">
        <f t="shared" si="1"/>
        <v/>
      </c>
      <c r="O9" s="23" t="str">
        <f t="shared" si="2"/>
        <v/>
      </c>
      <c r="P9" s="23" t="str">
        <f t="shared" si="3"/>
        <v/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9"/>
      <c r="C10" s="19"/>
      <c r="D10" s="19"/>
      <c r="E10" s="21"/>
      <c r="F10" s="21"/>
      <c r="G10" s="21"/>
      <c r="H10" s="21"/>
      <c r="I10" s="21"/>
      <c r="J10" s="21"/>
      <c r="K10" s="22"/>
      <c r="L10" s="19"/>
      <c r="M10" s="19"/>
      <c r="N10" s="23" t="str">
        <f t="shared" si="1"/>
        <v/>
      </c>
      <c r="O10" s="23" t="str">
        <f t="shared" si="2"/>
        <v/>
      </c>
      <c r="P10" s="23" t="str">
        <f t="shared" si="3"/>
        <v/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9"/>
      <c r="C11" s="19"/>
      <c r="D11" s="19"/>
      <c r="E11" s="21"/>
      <c r="F11" s="21"/>
      <c r="G11" s="21"/>
      <c r="H11" s="21"/>
      <c r="I11" s="21"/>
      <c r="J11" s="21"/>
      <c r="K11" s="22"/>
      <c r="L11" s="19"/>
      <c r="M11" s="19"/>
      <c r="N11" s="23" t="str">
        <f t="shared" si="1"/>
        <v/>
      </c>
      <c r="O11" s="23" t="str">
        <f t="shared" si="2"/>
        <v/>
      </c>
      <c r="P11" s="23" t="str">
        <f t="shared" si="3"/>
        <v/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9"/>
      <c r="C12" s="19"/>
      <c r="D12" s="19"/>
      <c r="E12" s="21"/>
      <c r="F12" s="21"/>
      <c r="G12" s="21"/>
      <c r="H12" s="21"/>
      <c r="I12" s="21"/>
      <c r="J12" s="21"/>
      <c r="K12" s="22"/>
      <c r="L12" s="19"/>
      <c r="M12" s="19"/>
      <c r="N12" s="23" t="str">
        <f t="shared" si="1"/>
        <v/>
      </c>
      <c r="O12" s="23" t="str">
        <f t="shared" si="2"/>
        <v/>
      </c>
      <c r="P12" s="23" t="str">
        <f t="shared" si="3"/>
        <v/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9"/>
      <c r="C13" s="19"/>
      <c r="D13" s="19"/>
      <c r="E13" s="21"/>
      <c r="F13" s="21"/>
      <c r="G13" s="21"/>
      <c r="H13" s="21"/>
      <c r="I13" s="21"/>
      <c r="J13" s="21"/>
      <c r="K13" s="22"/>
      <c r="L13" s="19"/>
      <c r="M13" s="19"/>
      <c r="N13" s="23" t="str">
        <f t="shared" si="1"/>
        <v/>
      </c>
      <c r="O13" s="23" t="str">
        <f t="shared" si="2"/>
        <v/>
      </c>
      <c r="P13" s="23" t="str">
        <f t="shared" si="3"/>
        <v/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9"/>
      <c r="C14" s="19"/>
      <c r="D14" s="19"/>
      <c r="E14" s="21"/>
      <c r="F14" s="21"/>
      <c r="G14" s="21"/>
      <c r="H14" s="21"/>
      <c r="I14" s="21"/>
      <c r="J14" s="21"/>
      <c r="K14" s="22"/>
      <c r="L14" s="19"/>
      <c r="M14" s="19"/>
      <c r="N14" s="23" t="str">
        <f t="shared" si="1"/>
        <v/>
      </c>
      <c r="O14" s="23" t="str">
        <f t="shared" si="2"/>
        <v/>
      </c>
      <c r="P14" s="23" t="str">
        <f t="shared" si="3"/>
        <v/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9"/>
      <c r="C15" s="19"/>
      <c r="D15" s="19"/>
      <c r="E15" s="21"/>
      <c r="F15" s="21"/>
      <c r="G15" s="21"/>
      <c r="H15" s="21"/>
      <c r="I15" s="21"/>
      <c r="J15" s="21"/>
      <c r="K15" s="22"/>
      <c r="L15" s="19"/>
      <c r="M15" s="19"/>
      <c r="N15" s="23" t="str">
        <f t="shared" si="1"/>
        <v/>
      </c>
      <c r="O15" s="23" t="str">
        <f t="shared" si="2"/>
        <v/>
      </c>
      <c r="P15" s="23" t="str">
        <f t="shared" si="3"/>
        <v/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9"/>
      <c r="C16" s="19"/>
      <c r="D16" s="19"/>
      <c r="E16" s="21"/>
      <c r="F16" s="21"/>
      <c r="G16" s="21"/>
      <c r="H16" s="21"/>
      <c r="I16" s="21"/>
      <c r="J16" s="21"/>
      <c r="K16" s="22"/>
      <c r="L16" s="19"/>
      <c r="M16" s="19"/>
      <c r="N16" s="23" t="str">
        <f t="shared" si="1"/>
        <v/>
      </c>
      <c r="O16" s="23" t="str">
        <f t="shared" si="2"/>
        <v/>
      </c>
      <c r="P16" s="23" t="str">
        <f t="shared" si="3"/>
        <v/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9"/>
      <c r="C17" s="19"/>
      <c r="D17" s="19"/>
      <c r="E17" s="21"/>
      <c r="F17" s="21"/>
      <c r="G17" s="21"/>
      <c r="H17" s="21"/>
      <c r="I17" s="21"/>
      <c r="J17" s="21"/>
      <c r="K17" s="22"/>
      <c r="L17" s="19"/>
      <c r="M17" s="19"/>
      <c r="N17" s="23" t="str">
        <f t="shared" si="1"/>
        <v/>
      </c>
      <c r="O17" s="23" t="str">
        <f t="shared" si="2"/>
        <v/>
      </c>
      <c r="P17" s="23" t="str">
        <f t="shared" si="3"/>
        <v/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9"/>
      <c r="C18" s="19"/>
      <c r="D18" s="19"/>
      <c r="E18" s="21"/>
      <c r="F18" s="21"/>
      <c r="G18" s="21"/>
      <c r="H18" s="21"/>
      <c r="I18" s="21"/>
      <c r="J18" s="21"/>
      <c r="K18" s="22"/>
      <c r="L18" s="19"/>
      <c r="M18" s="19"/>
      <c r="N18" s="23" t="str">
        <f t="shared" si="1"/>
        <v/>
      </c>
      <c r="O18" s="23" t="str">
        <f t="shared" si="2"/>
        <v/>
      </c>
      <c r="P18" s="23" t="str">
        <f t="shared" si="3"/>
        <v/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P2"/>
  </mergeCells>
  <dataValidations>
    <dataValidation type="list" allowBlank="1" sqref="B5:B18">
      <formula1>"Luxor,Aswan"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0.14"/>
    <col customWidth="1" min="2" max="2" width="13.43"/>
    <col customWidth="1" min="3" max="4" width="12.29"/>
    <col customWidth="1" min="5" max="6" width="11.0"/>
    <col customWidth="1" min="7" max="7" width="12.14"/>
    <col customWidth="1" min="8" max="8" width="11.71"/>
    <col customWidth="1" min="9" max="9" width="11.86"/>
    <col customWidth="1" min="10" max="10" width="10.0"/>
    <col customWidth="1" min="11" max="26" width="8.71"/>
  </cols>
  <sheetData>
    <row r="1">
      <c r="A1" s="1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6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31</v>
      </c>
      <c r="H4" s="7" t="s">
        <v>32</v>
      </c>
      <c r="I4" s="7" t="s">
        <v>23</v>
      </c>
      <c r="J4" s="7" t="s">
        <v>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35</v>
      </c>
      <c r="B5" s="8" t="s">
        <v>37</v>
      </c>
      <c r="C5" s="9">
        <v>600.0</v>
      </c>
      <c r="D5" s="9">
        <v>380.0</v>
      </c>
      <c r="E5" s="9">
        <v>310.0</v>
      </c>
      <c r="F5" s="9">
        <v>260.0</v>
      </c>
      <c r="G5" s="9">
        <v>230.0</v>
      </c>
      <c r="H5" s="11">
        <v>0.5</v>
      </c>
      <c r="I5" s="8" t="s">
        <v>48</v>
      </c>
      <c r="J5" s="16">
        <f t="shared" ref="J5:J17" si="1">IF(D5="","",D5*2)</f>
        <v>760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60</v>
      </c>
      <c r="B6" s="12" t="s">
        <v>61</v>
      </c>
      <c r="C6" s="14">
        <v>337.0</v>
      </c>
      <c r="D6" s="14">
        <v>216.0</v>
      </c>
      <c r="E6" s="14">
        <v>178.0</v>
      </c>
      <c r="F6" s="14">
        <v>144.0</v>
      </c>
      <c r="G6" s="14">
        <v>128.0</v>
      </c>
      <c r="H6" s="18">
        <v>0.5</v>
      </c>
      <c r="I6" s="13"/>
      <c r="J6" s="20">
        <f t="shared" si="1"/>
        <v>432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64</v>
      </c>
      <c r="B7" s="12" t="s">
        <v>37</v>
      </c>
      <c r="C7" s="14">
        <v>454.0</v>
      </c>
      <c r="D7" s="14">
        <v>289.0</v>
      </c>
      <c r="E7" s="14">
        <v>235.0</v>
      </c>
      <c r="F7" s="14">
        <v>189.0</v>
      </c>
      <c r="G7" s="14">
        <v>169.0</v>
      </c>
      <c r="H7" s="18">
        <v>0.5</v>
      </c>
      <c r="I7" s="13"/>
      <c r="J7" s="20">
        <f t="shared" si="1"/>
        <v>578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/>
      <c r="B8" s="17"/>
      <c r="C8" s="21"/>
      <c r="D8" s="21"/>
      <c r="E8" s="21"/>
      <c r="F8" s="21"/>
      <c r="G8" s="21"/>
      <c r="H8" s="22"/>
      <c r="I8" s="19"/>
      <c r="J8" s="23" t="str">
        <f t="shared" si="1"/>
        <v/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7"/>
      <c r="C9" s="21"/>
      <c r="D9" s="21"/>
      <c r="E9" s="21"/>
      <c r="F9" s="21"/>
      <c r="G9" s="21"/>
      <c r="H9" s="22"/>
      <c r="I9" s="19"/>
      <c r="J9" s="23" t="str">
        <f t="shared" si="1"/>
        <v/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7"/>
      <c r="C10" s="21"/>
      <c r="D10" s="21"/>
      <c r="E10" s="21"/>
      <c r="F10" s="21"/>
      <c r="G10" s="21"/>
      <c r="H10" s="22"/>
      <c r="I10" s="19"/>
      <c r="J10" s="23" t="str">
        <f t="shared" si="1"/>
        <v/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7"/>
      <c r="C11" s="21"/>
      <c r="D11" s="21"/>
      <c r="E11" s="21"/>
      <c r="F11" s="21"/>
      <c r="G11" s="21"/>
      <c r="H11" s="22"/>
      <c r="I11" s="19"/>
      <c r="J11" s="23" t="str">
        <f t="shared" si="1"/>
        <v/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7"/>
      <c r="C12" s="21"/>
      <c r="D12" s="21"/>
      <c r="E12" s="21"/>
      <c r="F12" s="21"/>
      <c r="G12" s="21"/>
      <c r="H12" s="22"/>
      <c r="I12" s="19"/>
      <c r="J12" s="23" t="str">
        <f t="shared" si="1"/>
        <v/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7"/>
      <c r="C13" s="21"/>
      <c r="D13" s="21"/>
      <c r="E13" s="21"/>
      <c r="F13" s="21"/>
      <c r="G13" s="21"/>
      <c r="H13" s="22"/>
      <c r="I13" s="19"/>
      <c r="J13" s="23" t="str">
        <f t="shared" si="1"/>
        <v/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7"/>
      <c r="C14" s="21"/>
      <c r="D14" s="21"/>
      <c r="E14" s="21"/>
      <c r="F14" s="21"/>
      <c r="G14" s="21"/>
      <c r="H14" s="22"/>
      <c r="I14" s="19"/>
      <c r="J14" s="23" t="str">
        <f t="shared" si="1"/>
        <v/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7"/>
      <c r="C15" s="21"/>
      <c r="D15" s="21"/>
      <c r="E15" s="21"/>
      <c r="F15" s="21"/>
      <c r="G15" s="21"/>
      <c r="H15" s="22"/>
      <c r="I15" s="19"/>
      <c r="J15" s="23" t="str">
        <f t="shared" si="1"/>
        <v/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7"/>
      <c r="C16" s="21"/>
      <c r="D16" s="21"/>
      <c r="E16" s="21"/>
      <c r="F16" s="21"/>
      <c r="G16" s="21"/>
      <c r="H16" s="22"/>
      <c r="I16" s="19"/>
      <c r="J16" s="23" t="str">
        <f t="shared" si="1"/>
        <v/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7"/>
      <c r="C17" s="21"/>
      <c r="D17" s="21"/>
      <c r="E17" s="21"/>
      <c r="F17" s="21"/>
      <c r="G17" s="21"/>
      <c r="H17" s="22"/>
      <c r="I17" s="19"/>
      <c r="J17" s="23" t="str">
        <f t="shared" si="1"/>
        <v/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J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2" width="10.0"/>
    <col customWidth="1" min="3" max="3" width="40.0"/>
    <col customWidth="1" min="4" max="5" width="14.0"/>
    <col customWidth="1" min="6" max="7" width="15.0"/>
    <col customWidth="1" min="8" max="8" width="13.0"/>
    <col customWidth="1" min="9" max="9" width="30.0"/>
    <col customWidth="1" min="10" max="26" width="8.71"/>
  </cols>
  <sheetData>
    <row r="1">
      <c r="A1" s="1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6" t="s">
        <v>66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7" t="s">
        <v>67</v>
      </c>
      <c r="B4" s="7" t="s">
        <v>11</v>
      </c>
      <c r="C4" s="7" t="s">
        <v>68</v>
      </c>
      <c r="D4" s="7" t="s">
        <v>69</v>
      </c>
      <c r="E4" s="7" t="s">
        <v>70</v>
      </c>
      <c r="F4" s="7" t="s">
        <v>71</v>
      </c>
      <c r="G4" s="7" t="s">
        <v>73</v>
      </c>
      <c r="H4" s="7" t="s">
        <v>21</v>
      </c>
      <c r="I4" s="7" t="s">
        <v>23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74</v>
      </c>
      <c r="B5" s="8" t="s">
        <v>38</v>
      </c>
      <c r="C5" s="8" t="s">
        <v>75</v>
      </c>
      <c r="D5" s="9">
        <v>25.0</v>
      </c>
      <c r="E5" s="9">
        <v>35.0</v>
      </c>
      <c r="F5" s="9">
        <v>55.0</v>
      </c>
      <c r="G5" s="9">
        <v>10.0</v>
      </c>
      <c r="H5" s="8">
        <v>12.0</v>
      </c>
      <c r="I5" s="8" t="s">
        <v>48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77</v>
      </c>
      <c r="B6" s="12" t="s">
        <v>53</v>
      </c>
      <c r="C6" s="13" t="s">
        <v>78</v>
      </c>
      <c r="D6" s="14">
        <v>33.0</v>
      </c>
      <c r="E6" s="14">
        <v>40.0</v>
      </c>
      <c r="F6" s="14">
        <v>58.0</v>
      </c>
      <c r="G6" s="24"/>
      <c r="H6" s="15">
        <v>24.0</v>
      </c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77</v>
      </c>
      <c r="B7" s="12" t="s">
        <v>53</v>
      </c>
      <c r="C7" s="13" t="s">
        <v>85</v>
      </c>
      <c r="D7" s="14">
        <v>33.0</v>
      </c>
      <c r="E7" s="14">
        <v>40.0</v>
      </c>
      <c r="F7" s="14">
        <v>58.0</v>
      </c>
      <c r="G7" s="24"/>
      <c r="H7" s="15">
        <v>24.0</v>
      </c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86</v>
      </c>
      <c r="B8" s="12" t="s">
        <v>38</v>
      </c>
      <c r="C8" s="13" t="s">
        <v>75</v>
      </c>
      <c r="D8" s="14">
        <v>26.0</v>
      </c>
      <c r="E8" s="14">
        <v>36.0</v>
      </c>
      <c r="F8" s="14">
        <v>44.0</v>
      </c>
      <c r="G8" s="24"/>
      <c r="H8" s="15">
        <v>24.0</v>
      </c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86</v>
      </c>
      <c r="B9" s="12" t="s">
        <v>38</v>
      </c>
      <c r="C9" s="13" t="s">
        <v>88</v>
      </c>
      <c r="D9" s="14">
        <v>26.0</v>
      </c>
      <c r="E9" s="14">
        <v>36.0</v>
      </c>
      <c r="F9" s="14">
        <v>44.0</v>
      </c>
      <c r="G9" s="24"/>
      <c r="H9" s="15">
        <v>24.0</v>
      </c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7"/>
      <c r="C10" s="19"/>
      <c r="D10" s="21"/>
      <c r="E10" s="21"/>
      <c r="F10" s="21"/>
      <c r="G10" s="21"/>
      <c r="H10" s="19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7"/>
      <c r="C11" s="19"/>
      <c r="D11" s="21"/>
      <c r="E11" s="21"/>
      <c r="F11" s="21"/>
      <c r="G11" s="21"/>
      <c r="H11" s="19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7"/>
      <c r="C12" s="19"/>
      <c r="D12" s="21"/>
      <c r="E12" s="21"/>
      <c r="F12" s="21"/>
      <c r="G12" s="21"/>
      <c r="H12" s="19"/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7"/>
      <c r="C13" s="19"/>
      <c r="D13" s="21"/>
      <c r="E13" s="21"/>
      <c r="F13" s="21"/>
      <c r="G13" s="21"/>
      <c r="H13" s="19"/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7"/>
      <c r="C14" s="19"/>
      <c r="D14" s="21"/>
      <c r="E14" s="21"/>
      <c r="F14" s="21"/>
      <c r="G14" s="21"/>
      <c r="H14" s="19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7"/>
      <c r="C15" s="19"/>
      <c r="D15" s="21"/>
      <c r="E15" s="21"/>
      <c r="F15" s="21"/>
      <c r="G15" s="21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7"/>
      <c r="C16" s="19"/>
      <c r="D16" s="21"/>
      <c r="E16" s="21"/>
      <c r="F16" s="21"/>
      <c r="G16" s="21"/>
      <c r="H16" s="19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7"/>
      <c r="C17" s="19"/>
      <c r="D17" s="21"/>
      <c r="E17" s="21"/>
      <c r="F17" s="21"/>
      <c r="G17" s="21"/>
      <c r="H17" s="19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7"/>
      <c r="C18" s="19"/>
      <c r="D18" s="21"/>
      <c r="E18" s="21"/>
      <c r="F18" s="21"/>
      <c r="G18" s="21"/>
      <c r="H18" s="19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/>
      <c r="B19" s="17"/>
      <c r="C19" s="19"/>
      <c r="D19" s="21"/>
      <c r="E19" s="21"/>
      <c r="F19" s="21"/>
      <c r="G19" s="21"/>
      <c r="H19" s="19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I2"/>
  </mergeCells>
  <dataValidations>
    <dataValidation type="list" allowBlank="1" sqref="B5:B19">
      <formula1>"Luxor,Aswan"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2" width="10.0"/>
    <col customWidth="1" min="3" max="3" width="16.0"/>
    <col customWidth="1" min="4" max="7" width="13.0"/>
    <col customWidth="1" min="8" max="8" width="34.0"/>
    <col customWidth="1" min="9" max="26" width="8.71"/>
  </cols>
  <sheetData>
    <row r="1">
      <c r="A1" s="1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6" t="s">
        <v>76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7" t="s">
        <v>79</v>
      </c>
      <c r="B4" s="7" t="s">
        <v>11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21</v>
      </c>
      <c r="H4" s="7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84</v>
      </c>
      <c r="B5" s="8" t="s">
        <v>38</v>
      </c>
      <c r="C5" s="8" t="s">
        <v>87</v>
      </c>
      <c r="D5" s="9">
        <v>20.0</v>
      </c>
      <c r="E5" s="9">
        <v>30.0</v>
      </c>
      <c r="F5" s="9">
        <v>45.0</v>
      </c>
      <c r="G5" s="8">
        <v>12.0</v>
      </c>
      <c r="H5" s="8" t="s">
        <v>48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89</v>
      </c>
      <c r="B6" s="12" t="s">
        <v>53</v>
      </c>
      <c r="C6" s="12" t="s">
        <v>87</v>
      </c>
      <c r="D6" s="14">
        <v>30.0</v>
      </c>
      <c r="E6" s="14">
        <v>40.0</v>
      </c>
      <c r="F6" s="14">
        <v>50.0</v>
      </c>
      <c r="G6" s="15">
        <v>24.0</v>
      </c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89</v>
      </c>
      <c r="B7" s="12" t="s">
        <v>53</v>
      </c>
      <c r="C7" s="12" t="s">
        <v>90</v>
      </c>
      <c r="D7" s="14">
        <v>30.0</v>
      </c>
      <c r="E7" s="14">
        <v>40.0</v>
      </c>
      <c r="F7" s="14">
        <v>50.0</v>
      </c>
      <c r="G7" s="15">
        <v>24.0</v>
      </c>
      <c r="H7" s="1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91</v>
      </c>
      <c r="B8" s="12" t="s">
        <v>38</v>
      </c>
      <c r="C8" s="12" t="s">
        <v>87</v>
      </c>
      <c r="D8" s="14">
        <v>30.0</v>
      </c>
      <c r="E8" s="14">
        <v>40.0</v>
      </c>
      <c r="F8" s="14">
        <v>50.0</v>
      </c>
      <c r="G8" s="15">
        <v>24.0</v>
      </c>
      <c r="H8" s="1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91</v>
      </c>
      <c r="B9" s="12" t="s">
        <v>38</v>
      </c>
      <c r="C9" s="12" t="s">
        <v>90</v>
      </c>
      <c r="D9" s="14">
        <v>30.0</v>
      </c>
      <c r="E9" s="14">
        <v>40.0</v>
      </c>
      <c r="F9" s="14">
        <v>50.0</v>
      </c>
      <c r="G9" s="15">
        <v>24.0</v>
      </c>
      <c r="H9" s="1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7"/>
      <c r="C10" s="17"/>
      <c r="D10" s="21"/>
      <c r="E10" s="21"/>
      <c r="F10" s="21"/>
      <c r="G10" s="19"/>
      <c r="H10" s="1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7"/>
      <c r="C11" s="17"/>
      <c r="D11" s="21"/>
      <c r="E11" s="21"/>
      <c r="F11" s="21"/>
      <c r="G11" s="19"/>
      <c r="H11" s="1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7"/>
      <c r="C12" s="17"/>
      <c r="D12" s="21"/>
      <c r="E12" s="21"/>
      <c r="F12" s="21"/>
      <c r="G12" s="19"/>
      <c r="H12" s="1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7"/>
      <c r="C13" s="17"/>
      <c r="D13" s="21"/>
      <c r="E13" s="21"/>
      <c r="F13" s="21"/>
      <c r="G13" s="19"/>
      <c r="H13" s="1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7"/>
      <c r="C14" s="17"/>
      <c r="D14" s="21"/>
      <c r="E14" s="21"/>
      <c r="F14" s="21"/>
      <c r="G14" s="19"/>
      <c r="H14" s="1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7"/>
      <c r="C15" s="17"/>
      <c r="D15" s="21"/>
      <c r="E15" s="21"/>
      <c r="F15" s="21"/>
      <c r="G15" s="19"/>
      <c r="H15" s="1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7"/>
      <c r="C16" s="17"/>
      <c r="D16" s="21"/>
      <c r="E16" s="21"/>
      <c r="F16" s="21"/>
      <c r="G16" s="19"/>
      <c r="H16" s="1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7"/>
      <c r="C17" s="17"/>
      <c r="D17" s="21"/>
      <c r="E17" s="21"/>
      <c r="F17" s="21"/>
      <c r="G17" s="19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7"/>
      <c r="C18" s="17"/>
      <c r="D18" s="21"/>
      <c r="E18" s="21"/>
      <c r="F18" s="21"/>
      <c r="G18" s="19"/>
      <c r="H18" s="1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/>
      <c r="B19" s="17"/>
      <c r="C19" s="17"/>
      <c r="D19" s="21"/>
      <c r="E19" s="21"/>
      <c r="F19" s="21"/>
      <c r="G19" s="19"/>
      <c r="H19" s="1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H2"/>
  </mergeCells>
  <dataValidations>
    <dataValidation type="list" allowBlank="1" sqref="C5:C19">
      <formula1>"Arrival,Departure"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4" width="14.0"/>
    <col customWidth="1" min="5" max="5" width="26.0"/>
    <col customWidth="1" min="6" max="6" width="34.0"/>
    <col customWidth="1" min="7" max="26" width="8.71"/>
  </cols>
  <sheetData>
    <row r="1">
      <c r="A1" s="26" t="s">
        <v>92</v>
      </c>
    </row>
    <row r="2" ht="48.0" customHeight="1">
      <c r="A2" s="27" t="s">
        <v>93</v>
      </c>
    </row>
    <row r="4" ht="45.0" customHeight="1">
      <c r="A4" s="28" t="s">
        <v>94</v>
      </c>
      <c r="B4" s="28" t="s">
        <v>95</v>
      </c>
      <c r="C4" s="28" t="s">
        <v>96</v>
      </c>
      <c r="D4" s="28" t="s">
        <v>97</v>
      </c>
      <c r="E4" s="28" t="s">
        <v>98</v>
      </c>
      <c r="F4" s="28" t="s">
        <v>23</v>
      </c>
    </row>
    <row r="5">
      <c r="A5" s="29" t="s">
        <v>99</v>
      </c>
      <c r="B5" s="29" t="s">
        <v>100</v>
      </c>
      <c r="C5" s="29" t="s">
        <v>101</v>
      </c>
      <c r="D5" s="30">
        <v>0.2</v>
      </c>
      <c r="E5" s="29" t="s">
        <v>102</v>
      </c>
      <c r="F5" s="29" t="s">
        <v>103</v>
      </c>
    </row>
    <row r="6">
      <c r="A6" s="31"/>
      <c r="B6" s="32" t="s">
        <v>104</v>
      </c>
      <c r="C6" s="31"/>
      <c r="D6" s="33"/>
      <c r="E6" s="31"/>
      <c r="F6" s="31"/>
    </row>
    <row r="7">
      <c r="A7" s="31"/>
      <c r="B7" s="31"/>
      <c r="C7" s="31"/>
      <c r="D7" s="33"/>
      <c r="E7" s="31"/>
      <c r="F7" s="31"/>
    </row>
    <row r="8">
      <c r="A8" s="31"/>
      <c r="B8" s="31"/>
      <c r="C8" s="31"/>
      <c r="D8" s="33"/>
      <c r="E8" s="31"/>
      <c r="F8" s="31"/>
    </row>
    <row r="9">
      <c r="A9" s="34"/>
      <c r="B9" s="34"/>
      <c r="C9" s="34"/>
      <c r="D9" s="35"/>
      <c r="E9" s="34"/>
      <c r="F9" s="34"/>
    </row>
    <row r="10">
      <c r="A10" s="34"/>
      <c r="B10" s="34"/>
      <c r="C10" s="34"/>
      <c r="D10" s="35"/>
      <c r="E10" s="34"/>
      <c r="F10" s="34"/>
    </row>
    <row r="11">
      <c r="A11" s="34"/>
      <c r="B11" s="34"/>
      <c r="C11" s="34"/>
      <c r="D11" s="35"/>
      <c r="E11" s="34"/>
      <c r="F11" s="34"/>
    </row>
    <row r="12">
      <c r="A12" s="34"/>
      <c r="B12" s="34"/>
      <c r="C12" s="34"/>
      <c r="D12" s="35"/>
      <c r="E12" s="34"/>
      <c r="F12" s="34"/>
    </row>
    <row r="13">
      <c r="A13" s="34"/>
      <c r="B13" s="34"/>
      <c r="C13" s="34"/>
      <c r="D13" s="35"/>
      <c r="E13" s="34"/>
      <c r="F13" s="34"/>
    </row>
    <row r="14">
      <c r="A14" s="34"/>
      <c r="B14" s="34"/>
      <c r="C14" s="34"/>
      <c r="D14" s="35"/>
      <c r="E14" s="34"/>
      <c r="F14" s="34"/>
    </row>
    <row r="15">
      <c r="A15" s="34"/>
      <c r="B15" s="34"/>
      <c r="C15" s="34"/>
      <c r="D15" s="35"/>
      <c r="E15" s="34"/>
      <c r="F15" s="34"/>
    </row>
    <row r="16">
      <c r="A16" s="34"/>
      <c r="B16" s="34"/>
      <c r="C16" s="34"/>
      <c r="D16" s="35"/>
      <c r="E16" s="34"/>
      <c r="F16" s="34"/>
    </row>
    <row r="17">
      <c r="A17" s="34"/>
      <c r="B17" s="34"/>
      <c r="C17" s="34"/>
      <c r="D17" s="35"/>
      <c r="E17" s="34"/>
      <c r="F17" s="34"/>
    </row>
    <row r="18">
      <c r="A18" s="34"/>
      <c r="B18" s="34"/>
      <c r="C18" s="34"/>
      <c r="D18" s="35"/>
      <c r="E18" s="34"/>
      <c r="F18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dataValidations>
    <dataValidation type="list" allowBlank="1" sqref="E5:E18">
      <formula1>"All,Shared,Private,Transfers"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29"/>
    <col customWidth="1" min="2" max="2" width="69.71"/>
    <col customWidth="1" min="3" max="3" width="32.57"/>
    <col customWidth="1" min="4" max="4" width="45.14"/>
    <col customWidth="1" min="5" max="26" width="8.71"/>
  </cols>
  <sheetData>
    <row r="1">
      <c r="A1" s="1" t="s">
        <v>105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6" t="s">
        <v>106</v>
      </c>
      <c r="B3" s="36" t="s">
        <v>107</v>
      </c>
      <c r="C3" s="36" t="s">
        <v>108</v>
      </c>
      <c r="D3" s="36" t="s">
        <v>109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17">
        <v>1.0</v>
      </c>
      <c r="B4" s="12" t="s">
        <v>110</v>
      </c>
      <c r="C4" s="37" t="s">
        <v>111</v>
      </c>
      <c r="D4" s="8" t="s">
        <v>112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1.5" customHeight="1">
      <c r="A5" s="17">
        <v>2.0</v>
      </c>
      <c r="B5" s="12" t="s">
        <v>113</v>
      </c>
      <c r="C5" s="37" t="s">
        <v>114</v>
      </c>
      <c r="D5" s="8" t="s">
        <v>114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1.5" customHeight="1">
      <c r="A6" s="17">
        <v>3.0</v>
      </c>
      <c r="B6" s="12" t="s">
        <v>115</v>
      </c>
      <c r="C6" s="37" t="s">
        <v>116</v>
      </c>
      <c r="D6" s="8" t="s">
        <v>117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1.5" customHeight="1">
      <c r="A7" s="17">
        <v>4.0</v>
      </c>
      <c r="B7" s="12" t="s">
        <v>118</v>
      </c>
      <c r="C7" s="19"/>
      <c r="D7" s="8" t="s">
        <v>119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17">
        <v>5.0</v>
      </c>
      <c r="B8" s="12" t="s">
        <v>120</v>
      </c>
      <c r="C8" s="37" t="s">
        <v>46</v>
      </c>
      <c r="D8" s="8" t="s">
        <v>46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17">
        <v>6.0</v>
      </c>
      <c r="B9" s="12" t="s">
        <v>121</v>
      </c>
      <c r="C9" s="37" t="s">
        <v>122</v>
      </c>
      <c r="D9" s="8" t="s">
        <v>123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17">
        <v>7.0</v>
      </c>
      <c r="B10" s="12" t="s">
        <v>124</v>
      </c>
      <c r="C10" s="37" t="s">
        <v>125</v>
      </c>
      <c r="D10" s="8" t="s">
        <v>125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C10">
      <formula1>"Free until 48 h before; then 100%,Free until 24 h before; then 100%,Set per tour"</formula1>
    </dataValidation>
    <dataValidation type="list" allowBlank="1" sqref="C5">
      <formula1>"Run it anyway,Offer private at the shared price,Cancel and refund in full"</formula1>
    </dataValidation>
    <dataValidation type="list" allowBlank="1" sqref="C7">
      <formula1>"12 hours,24 hours,48 hours"</formula1>
    </dataValidation>
    <dataValidation type="list" allowBlank="1" sqref="C4">
      <formula1>"Confirmed at once,Office confirms within 24 hours"</formula1>
    </dataValidation>
    <dataValidation type="list" allowBlank="1" sqref="C6">
      <formula1>"3 months,6 months,12 months,1 week"</formula1>
    </dataValidation>
    <dataValidation type="list" allowBlank="1" sqref="C9">
      <formula1>"Yes,one login per office,No,Nilecruz admins only"</formula1>
    </dataValidation>
    <dataValidation type="list" allowBlank="1" sqref="C8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2026-10-20T15:26:11Z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